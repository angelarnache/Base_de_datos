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aw_data" sheetId="1" state="visible" r:id="rId3"/>
    <sheet name="Hoja0" sheetId="2" state="visible" r:id="rId4"/>
    <sheet name="Hoja1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<sst xmlns="http://schemas.openxmlformats.org/spreadsheetml/2006/main" count="521" uniqueCount="150">
  <si>
    <t xml:space="preserve">OrderDate</t>
  </si>
  <si>
    <t xml:space="preserve">CustomerName</t>
  </si>
  <si>
    <t xml:space="preserve">CustomerCity</t>
  </si>
  <si>
    <t xml:space="preserve">SalesRep</t>
  </si>
  <si>
    <t xml:space="preserve">Branch</t>
  </si>
  <si>
    <t xml:space="preserve">BranchCity</t>
  </si>
  <si>
    <t xml:space="preserve">ProductName</t>
  </si>
  <si>
    <t xml:space="preserve">Category</t>
  </si>
  <si>
    <t xml:space="preserve">Quantity</t>
  </si>
  <si>
    <t xml:space="preserve">UnitPrice</t>
  </si>
  <si>
    <t xml:space="preserve">PaymentMethod</t>
  </si>
  <si>
    <t xml:space="preserve">InvoiceNumber</t>
  </si>
  <si>
    <t xml:space="preserve">2026-05-01</t>
  </si>
  <si>
    <t xml:space="preserve">Constructora Andina SAS</t>
  </si>
  <si>
    <t xml:space="preserve">Bogotá</t>
  </si>
  <si>
    <t xml:space="preserve">Carlos Pérez</t>
  </si>
  <si>
    <t xml:space="preserve">Centro</t>
  </si>
  <si>
    <t xml:space="preserve">Cemento Gris 50kg</t>
  </si>
  <si>
    <t xml:space="preserve">Construcción</t>
  </si>
  <si>
    <t xml:space="preserve">Transferencia</t>
  </si>
  <si>
    <t xml:space="preserve">FAC-2001</t>
  </si>
  <si>
    <t xml:space="preserve">Varilla 3/8</t>
  </si>
  <si>
    <t xml:space="preserve">2026-05-02</t>
  </si>
  <si>
    <t xml:space="preserve">Ferretería El Tornillo</t>
  </si>
  <si>
    <t xml:space="preserve">Medellín</t>
  </si>
  <si>
    <t xml:space="preserve">Laura Gómez</t>
  </si>
  <si>
    <t xml:space="preserve">Norte</t>
  </si>
  <si>
    <t xml:space="preserve">Taladro Industrial</t>
  </si>
  <si>
    <t xml:space="preserve">Herramientas</t>
  </si>
  <si>
    <t xml:space="preserve">Tarjeta</t>
  </si>
  <si>
    <t xml:space="preserve">FAC-2002</t>
  </si>
  <si>
    <t xml:space="preserve">2026-05-03</t>
  </si>
  <si>
    <t xml:space="preserve">Inversiones Caribe SAS</t>
  </si>
  <si>
    <t xml:space="preserve">Barranquilla</t>
  </si>
  <si>
    <t xml:space="preserve">Andrés Ruiz</t>
  </si>
  <si>
    <t xml:space="preserve">Costa</t>
  </si>
  <si>
    <t xml:space="preserve">Pintura Blanca 5GL</t>
  </si>
  <si>
    <t xml:space="preserve">Pinturas</t>
  </si>
  <si>
    <t xml:space="preserve">Crédito</t>
  </si>
  <si>
    <t xml:space="preserve">FAC-2003</t>
  </si>
  <si>
    <t xml:space="preserve">Rodillo Profesional</t>
  </si>
  <si>
    <t xml:space="preserve">2026-05-04</t>
  </si>
  <si>
    <t xml:space="preserve">Metalúrgica del Norte</t>
  </si>
  <si>
    <t xml:space="preserve">Cali</t>
  </si>
  <si>
    <t xml:space="preserve">Diana Torres</t>
  </si>
  <si>
    <t xml:space="preserve">Occidente</t>
  </si>
  <si>
    <t xml:space="preserve">Disco de Corte</t>
  </si>
  <si>
    <t xml:space="preserve">Efectivo</t>
  </si>
  <si>
    <t xml:space="preserve">FAC-2004</t>
  </si>
  <si>
    <t xml:space="preserve">2026-05-05</t>
  </si>
  <si>
    <t xml:space="preserve">FAC-2005</t>
  </si>
  <si>
    <t xml:space="preserve">2026-05-06</t>
  </si>
  <si>
    <t xml:space="preserve">Broca SDS</t>
  </si>
  <si>
    <t xml:space="preserve">FAC-2006</t>
  </si>
  <si>
    <t xml:space="preserve">2026-05-07</t>
  </si>
  <si>
    <t xml:space="preserve">Obras y Vías SAS</t>
  </si>
  <si>
    <t xml:space="preserve">Bucaramanga</t>
  </si>
  <si>
    <t xml:space="preserve">Miguel Castro</t>
  </si>
  <si>
    <t xml:space="preserve">Oriente</t>
  </si>
  <si>
    <t xml:space="preserve">Arena Lavada</t>
  </si>
  <si>
    <t xml:space="preserve">Agregados</t>
  </si>
  <si>
    <t xml:space="preserve">FAC-2007</t>
  </si>
  <si>
    <t xml:space="preserve">Grava Triturada</t>
  </si>
  <si>
    <t xml:space="preserve">2026-05-08</t>
  </si>
  <si>
    <t xml:space="preserve">Constructora Pacífico</t>
  </si>
  <si>
    <t xml:space="preserve">FAC-2008</t>
  </si>
  <si>
    <t xml:space="preserve">2026-05-09</t>
  </si>
  <si>
    <t xml:space="preserve">Ferretería Central</t>
  </si>
  <si>
    <t xml:space="preserve">Cartagena</t>
  </si>
  <si>
    <t xml:space="preserve">FAC-2009</t>
  </si>
  <si>
    <t xml:space="preserve">factura</t>
  </si>
  <si>
    <t xml:space="preserve">Clientes</t>
  </si>
  <si>
    <t xml:space="preserve">Representantes</t>
  </si>
  <si>
    <t xml:space="preserve">productos_vendidos</t>
  </si>
  <si>
    <t xml:space="preserve">numero_de_factura</t>
  </si>
  <si>
    <t xml:space="preserve">id_clientes</t>
  </si>
  <si>
    <t xml:space="preserve">id_representante</t>
  </si>
  <si>
    <t xml:space="preserve">id_productos_vendidos</t>
  </si>
  <si>
    <t xml:space="preserve">total</t>
  </si>
  <si>
    <t xml:space="preserve">Id_clientes</t>
  </si>
  <si>
    <t xml:space="preserve">Nombre_del_cliente</t>
  </si>
  <si>
    <t xml:space="preserve">Ciudad_del_cliente</t>
  </si>
  <si>
    <t xml:space="preserve">id_representantes</t>
  </si>
  <si>
    <t xml:space="preserve">representante_de_ventas</t>
  </si>
  <si>
    <t xml:space="preserve">sucursal</t>
  </si>
  <si>
    <t xml:space="preserve">sucursal_ciudad</t>
  </si>
  <si>
    <t xml:space="preserve">id_producto</t>
  </si>
  <si>
    <t xml:space="preserve">nombre_del_producto</t>
  </si>
  <si>
    <t xml:space="preserve">categoría</t>
  </si>
  <si>
    <t xml:space="preserve">cantidad_pedida</t>
  </si>
  <si>
    <t xml:space="preserve">precio_unitario</t>
  </si>
  <si>
    <t xml:space="preserve">método_de_pago</t>
  </si>
  <si>
    <t xml:space="preserve">fecha_del_pedido</t>
  </si>
  <si>
    <t xml:space="preserve">A1</t>
  </si>
  <si>
    <t xml:space="preserve">B1</t>
  </si>
  <si>
    <t xml:space="preserve">C1</t>
  </si>
  <si>
    <t xml:space="preserve">C2</t>
  </si>
  <si>
    <t xml:space="preserve">A2</t>
  </si>
  <si>
    <t xml:space="preserve">B2</t>
  </si>
  <si>
    <t xml:space="preserve">C3</t>
  </si>
  <si>
    <t xml:space="preserve">A3</t>
  </si>
  <si>
    <t xml:space="preserve">B3</t>
  </si>
  <si>
    <t xml:space="preserve">C4</t>
  </si>
  <si>
    <t xml:space="preserve">A4</t>
  </si>
  <si>
    <t xml:space="preserve">B4</t>
  </si>
  <si>
    <t xml:space="preserve">C5</t>
  </si>
  <si>
    <t xml:space="preserve">A5</t>
  </si>
  <si>
    <t xml:space="preserve">B5</t>
  </si>
  <si>
    <t xml:space="preserve">C6</t>
  </si>
  <si>
    <t xml:space="preserve">A6</t>
  </si>
  <si>
    <t xml:space="preserve">A7</t>
  </si>
  <si>
    <t xml:space="preserve">B6</t>
  </si>
  <si>
    <t xml:space="preserve">C7</t>
  </si>
  <si>
    <t xml:space="preserve">B7</t>
  </si>
  <si>
    <t xml:space="preserve">C8</t>
  </si>
  <si>
    <t xml:space="preserve">C9</t>
  </si>
  <si>
    <t xml:space="preserve">productos</t>
  </si>
  <si>
    <t xml:space="preserve">ventas_productos</t>
  </si>
  <si>
    <t xml:space="preserve">id_detalle_ventas</t>
  </si>
  <si>
    <t xml:space="preserve">P1</t>
  </si>
  <si>
    <t xml:space="preserve">CD2</t>
  </si>
  <si>
    <t xml:space="preserve">R1</t>
  </si>
  <si>
    <t xml:space="preserve">H1</t>
  </si>
  <si>
    <t xml:space="preserve">P2</t>
  </si>
  <si>
    <t xml:space="preserve">CD3</t>
  </si>
  <si>
    <t xml:space="preserve">R2</t>
  </si>
  <si>
    <t xml:space="preserve">P3</t>
  </si>
  <si>
    <t xml:space="preserve">CD1</t>
  </si>
  <si>
    <t xml:space="preserve">R3</t>
  </si>
  <si>
    <t xml:space="preserve">H2</t>
  </si>
  <si>
    <t xml:space="preserve">P4</t>
  </si>
  <si>
    <t xml:space="preserve">CD4</t>
  </si>
  <si>
    <t xml:space="preserve">R4</t>
  </si>
  <si>
    <t xml:space="preserve">H3</t>
  </si>
  <si>
    <t xml:space="preserve">CD5</t>
  </si>
  <si>
    <t xml:space="preserve">R5</t>
  </si>
  <si>
    <t xml:space="preserve">CD6</t>
  </si>
  <si>
    <t xml:space="preserve">H4</t>
  </si>
  <si>
    <t xml:space="preserve">método de pago</t>
  </si>
  <si>
    <t xml:space="preserve">Ciudades</t>
  </si>
  <si>
    <t xml:space="preserve">Región</t>
  </si>
  <si>
    <t xml:space="preserve">id</t>
  </si>
  <si>
    <t xml:space="preserve">nombre</t>
  </si>
  <si>
    <t xml:space="preserve">Id</t>
  </si>
  <si>
    <t xml:space="preserve">Nombre</t>
  </si>
  <si>
    <t xml:space="preserve">Bogota</t>
  </si>
  <si>
    <t xml:space="preserve">Medellin</t>
  </si>
  <si>
    <t xml:space="preserve">costa</t>
  </si>
  <si>
    <t xml:space="preserve">occidente</t>
  </si>
  <si>
    <t xml:space="preserve">oriente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</si>
</sst>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BFBFBF"/>
        <bgColor rgb="FFCCCC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hair">
        <color rgb="FF2A6099"/>
      </left>
      <right style="hair">
        <color rgb="FF2A6099"/>
      </right>
      <top style="hair">
        <color rgb="FF2A6099"/>
      </top>
      <bottom style="hair">
        <color rgb="FF2A6099"/>
      </bottom>
      <diagonal/>
    </border>
    <border diagonalUp="false" diagonalDown="false">
      <left style="thin">
        <color rgb="FF2A6099"/>
      </left>
      <right style="thin">
        <color rgb="FF2A6099"/>
      </right>
      <top style="thin">
        <color rgb="FF2A6099"/>
      </top>
      <bottom style="thin">
        <color rgb="FF2A6099"/>
      </bottom>
      <diagonal/>
    </border>
    <border diagonalUp="false" diagonalDown="false">
      <left style="hair">
        <color rgb="FFCCCCCC"/>
      </left>
      <right style="hair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hair">
        <color rgb="FF2A6099"/>
      </left>
      <right style="hair">
        <color rgb="FF2A6099"/>
      </right>
      <top style="thin">
        <color rgb="FF2A6099"/>
      </top>
      <bottom style="thin">
        <color rgb="FF2A60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91" zoomScaleNormal="91" zoomScalePageLayoutView="100" workbookViewId="0">
      <selection pane="topLeft" activeCell="J11" activeCellId="0" sqref="J11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23.5"/>
    <col collapsed="false" customWidth="true" hidden="false" outlineLevel="0" max="2" min="2" style="1" width="26.84"/>
    <col collapsed="false" customWidth="true" hidden="false" outlineLevel="0" max="4" min="3" style="1" width="19"/>
    <col collapsed="false" customWidth="true" hidden="false" outlineLevel="0" max="5" min="5" style="1" width="20"/>
    <col collapsed="false" customWidth="true" hidden="false" outlineLevel="0" max="6" min="6" style="1" width="17"/>
    <col collapsed="false" customWidth="true" hidden="false" outlineLevel="0" max="7" min="7" style="1" width="19.5"/>
    <col collapsed="false" customWidth="true" hidden="false" outlineLevel="0" max="8" min="8" style="1" width="15.66"/>
    <col collapsed="false" customWidth="true" hidden="false" outlineLevel="0" max="10" min="10" style="1" width="16.33"/>
    <col collapsed="false" customWidth="true" hidden="false" outlineLevel="0" max="11" min="11" style="1" width="28.66"/>
    <col collapsed="false" customWidth="true" hidden="false" outlineLevel="0" max="12" min="12" style="1" width="13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14</v>
      </c>
      <c r="G2" s="1" t="s">
        <v>17</v>
      </c>
      <c r="H2" s="1" t="s">
        <v>18</v>
      </c>
      <c r="I2" s="1" t="n">
        <v>100</v>
      </c>
      <c r="J2" s="1" t="n">
        <v>32000</v>
      </c>
      <c r="K2" s="1" t="s">
        <v>19</v>
      </c>
      <c r="L2" s="1" t="s">
        <v>20</v>
      </c>
    </row>
    <row r="3" customFormat="false" ht="15" hidden="false" customHeight="false" outlineLevel="0" collapsed="false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14</v>
      </c>
      <c r="G3" s="1" t="s">
        <v>21</v>
      </c>
      <c r="H3" s="1" t="s">
        <v>18</v>
      </c>
      <c r="I3" s="1" t="n">
        <v>50</v>
      </c>
      <c r="J3" s="1" t="n">
        <v>28000</v>
      </c>
      <c r="K3" s="1" t="s">
        <v>19</v>
      </c>
      <c r="L3" s="1" t="s">
        <v>20</v>
      </c>
    </row>
    <row r="4" customFormat="false" ht="15" hidden="false" customHeight="false" outlineLevel="0" collapsed="false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24</v>
      </c>
      <c r="G4" s="1" t="s">
        <v>27</v>
      </c>
      <c r="H4" s="1" t="s">
        <v>28</v>
      </c>
      <c r="I4" s="1" t="n">
        <v>3</v>
      </c>
      <c r="J4" s="1" t="n">
        <v>450000</v>
      </c>
      <c r="K4" s="1" t="s">
        <v>29</v>
      </c>
      <c r="L4" s="1" t="s">
        <v>30</v>
      </c>
    </row>
    <row r="5" customFormat="false" ht="15" hidden="false" customHeight="false" outlineLevel="0" collapsed="false">
      <c r="A5" s="1" t="s">
        <v>31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33</v>
      </c>
      <c r="G5" s="1" t="s">
        <v>36</v>
      </c>
      <c r="H5" s="1" t="s">
        <v>37</v>
      </c>
      <c r="I5" s="1" t="n">
        <v>20</v>
      </c>
      <c r="J5" s="1" t="n">
        <v>95000</v>
      </c>
      <c r="K5" s="1" t="s">
        <v>38</v>
      </c>
      <c r="L5" s="1" t="s">
        <v>39</v>
      </c>
    </row>
    <row r="6" customFormat="false" ht="15" hidden="false" customHeight="false" outlineLevel="0" collapsed="false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33</v>
      </c>
      <c r="G6" s="1" t="s">
        <v>40</v>
      </c>
      <c r="H6" s="1" t="s">
        <v>37</v>
      </c>
      <c r="I6" s="1" t="n">
        <v>10</v>
      </c>
      <c r="J6" s="1" t="n">
        <v>18000</v>
      </c>
      <c r="K6" s="1" t="s">
        <v>38</v>
      </c>
      <c r="L6" s="1" t="s">
        <v>39</v>
      </c>
    </row>
    <row r="7" customFormat="false" ht="15" hidden="false" customHeight="false" outlineLevel="0" collapsed="false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43</v>
      </c>
      <c r="G7" s="1" t="s">
        <v>46</v>
      </c>
      <c r="H7" s="1" t="s">
        <v>28</v>
      </c>
      <c r="I7" s="1" t="n">
        <v>40</v>
      </c>
      <c r="J7" s="1" t="n">
        <v>12000</v>
      </c>
      <c r="K7" s="1" t="s">
        <v>47</v>
      </c>
      <c r="L7" s="1" t="s">
        <v>48</v>
      </c>
    </row>
    <row r="8" customFormat="false" ht="15" hidden="false" customHeight="false" outlineLevel="0" collapsed="false">
      <c r="A8" s="1" t="s">
        <v>49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14</v>
      </c>
      <c r="G8" s="1" t="s">
        <v>17</v>
      </c>
      <c r="H8" s="1" t="s">
        <v>18</v>
      </c>
      <c r="I8" s="1" t="n">
        <v>120</v>
      </c>
      <c r="J8" s="1" t="n">
        <v>32000</v>
      </c>
      <c r="K8" s="1" t="s">
        <v>19</v>
      </c>
      <c r="L8" s="1" t="s">
        <v>50</v>
      </c>
    </row>
    <row r="9" customFormat="false" ht="15" hidden="false" customHeight="false" outlineLevel="0" collapsed="false">
      <c r="A9" s="1" t="s">
        <v>51</v>
      </c>
      <c r="B9" s="1" t="s">
        <v>23</v>
      </c>
      <c r="C9" s="1" t="s">
        <v>24</v>
      </c>
      <c r="D9" s="1" t="s">
        <v>25</v>
      </c>
      <c r="E9" s="1" t="s">
        <v>26</v>
      </c>
      <c r="F9" s="1" t="s">
        <v>24</v>
      </c>
      <c r="G9" s="1" t="s">
        <v>52</v>
      </c>
      <c r="H9" s="1" t="s">
        <v>28</v>
      </c>
      <c r="I9" s="1" t="n">
        <v>25</v>
      </c>
      <c r="J9" s="1" t="n">
        <v>15000</v>
      </c>
      <c r="K9" s="1" t="s">
        <v>29</v>
      </c>
      <c r="L9" s="1" t="s">
        <v>53</v>
      </c>
    </row>
    <row r="10" customFormat="false" ht="15" hidden="false" customHeight="false" outlineLevel="0" collapsed="false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56</v>
      </c>
      <c r="G10" s="1" t="s">
        <v>59</v>
      </c>
      <c r="H10" s="1" t="s">
        <v>60</v>
      </c>
      <c r="I10" s="1" t="n">
        <v>60</v>
      </c>
      <c r="J10" s="1" t="n">
        <v>25000</v>
      </c>
      <c r="K10" s="1" t="s">
        <v>38</v>
      </c>
      <c r="L10" s="1" t="s">
        <v>61</v>
      </c>
    </row>
    <row r="11" customFormat="false" ht="15" hidden="false" customHeight="false" outlineLevel="0" collapsed="false">
      <c r="A11" s="1" t="s">
        <v>54</v>
      </c>
      <c r="B11" s="1" t="s">
        <v>55</v>
      </c>
      <c r="C11" s="1" t="s">
        <v>56</v>
      </c>
      <c r="D11" s="1" t="s">
        <v>57</v>
      </c>
      <c r="E11" s="1" t="s">
        <v>58</v>
      </c>
      <c r="F11" s="1" t="s">
        <v>56</v>
      </c>
      <c r="G11" s="1" t="s">
        <v>62</v>
      </c>
      <c r="H11" s="1" t="s">
        <v>60</v>
      </c>
      <c r="I11" s="1" t="n">
        <v>80</v>
      </c>
      <c r="J11" s="1" t="n">
        <v>27000</v>
      </c>
      <c r="K11" s="1" t="s">
        <v>38</v>
      </c>
      <c r="L11" s="1" t="s">
        <v>61</v>
      </c>
    </row>
    <row r="12" customFormat="false" ht="15" hidden="false" customHeight="false" outlineLevel="0" collapsed="false">
      <c r="A12" s="1" t="s">
        <v>63</v>
      </c>
      <c r="B12" s="1" t="s">
        <v>64</v>
      </c>
      <c r="C12" s="1" t="s">
        <v>43</v>
      </c>
      <c r="D12" s="1" t="s">
        <v>44</v>
      </c>
      <c r="E12" s="1" t="s">
        <v>45</v>
      </c>
      <c r="F12" s="1" t="s">
        <v>43</v>
      </c>
      <c r="G12" s="1" t="s">
        <v>36</v>
      </c>
      <c r="H12" s="1" t="s">
        <v>37</v>
      </c>
      <c r="I12" s="1" t="n">
        <v>15</v>
      </c>
      <c r="J12" s="1" t="n">
        <v>95000</v>
      </c>
      <c r="K12" s="1" t="s">
        <v>19</v>
      </c>
      <c r="L12" s="1" t="s">
        <v>65</v>
      </c>
    </row>
    <row r="13" customFormat="false" ht="15" hidden="false" customHeight="false" outlineLevel="0" collapsed="false">
      <c r="A13" s="1" t="s">
        <v>66</v>
      </c>
      <c r="B13" s="1" t="s">
        <v>67</v>
      </c>
      <c r="C13" s="1" t="s">
        <v>68</v>
      </c>
      <c r="D13" s="1" t="s">
        <v>34</v>
      </c>
      <c r="E13" s="1" t="s">
        <v>35</v>
      </c>
      <c r="F13" s="1" t="s">
        <v>33</v>
      </c>
      <c r="G13" s="1" t="s">
        <v>27</v>
      </c>
      <c r="H13" s="1" t="s">
        <v>28</v>
      </c>
      <c r="I13" s="1" t="n">
        <v>2</v>
      </c>
      <c r="J13" s="1" t="n">
        <v>450000</v>
      </c>
      <c r="K13" s="1" t="s">
        <v>29</v>
      </c>
      <c r="L13" s="1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W34"/>
  <sheetViews>
    <sheetView showFormulas="false" showGridLines="true" showRowColHeaders="true" showZeros="true" rightToLeft="false" tabSelected="false" showOutlineSymbols="true" defaultGridColor="true" view="normal" topLeftCell="A1" colorId="64" zoomScale="91" zoomScaleNormal="91" zoomScalePageLayoutView="100" workbookViewId="0">
      <selection pane="topLeft" activeCell="M15" activeCellId="0" sqref="M15"/>
    </sheetView>
  </sheetViews>
  <sheetFormatPr defaultColWidth="9.14453125" defaultRowHeight="13.8" zeroHeight="false" outlineLevelRow="0" outlineLevelCol="0"/>
  <cols>
    <col collapsed="false" customWidth="true" hidden="false" outlineLevel="0" max="2" min="2" style="1" width="16.73"/>
    <col collapsed="false" customWidth="true" hidden="false" outlineLevel="0" max="3" min="3" style="1" width="9.87"/>
    <col collapsed="false" customWidth="true" hidden="false" outlineLevel="0" max="4" min="4" style="1" width="14.77"/>
    <col collapsed="false" customWidth="true" hidden="false" outlineLevel="0" max="5" min="5" style="1" width="19.55"/>
    <col collapsed="false" customWidth="true" hidden="false" outlineLevel="0" max="8" min="8" style="1" width="15.62"/>
    <col collapsed="false" customWidth="true" hidden="false" outlineLevel="0" max="9" min="9" style="1" width="21.51"/>
    <col collapsed="false" customWidth="true" hidden="false" outlineLevel="0" max="10" min="10" style="1" width="16.36"/>
    <col collapsed="false" customWidth="true" hidden="false" outlineLevel="0" max="12" min="12" style="1" width="15.62"/>
    <col collapsed="false" customWidth="true" hidden="false" outlineLevel="0" max="13" min="13" style="1" width="21.51"/>
    <col collapsed="false" customWidth="true" hidden="false" outlineLevel="0" max="14" min="14" style="1" width="21.03"/>
    <col collapsed="false" customWidth="true" hidden="false" outlineLevel="0" max="15" min="15" style="1" width="16.36"/>
    <col collapsed="false" customWidth="true" hidden="false" outlineLevel="0" max="17" min="17" style="1" width="10.61"/>
    <col collapsed="false" customWidth="true" hidden="false" outlineLevel="0" max="18" min="18" style="1" width="18.57"/>
    <col collapsed="false" customWidth="true" hidden="false" outlineLevel="0" max="19" min="19" style="1" width="12.2"/>
    <col collapsed="false" customWidth="true" hidden="false" outlineLevel="0" max="20" min="20" style="1" width="14.4"/>
    <col collapsed="false" customWidth="true" hidden="false" outlineLevel="0" max="21" min="21" style="1" width="13.17"/>
    <col collapsed="false" customWidth="true" hidden="false" outlineLevel="0" max="22" min="22" style="1" width="15.01"/>
    <col collapsed="false" customWidth="true" hidden="false" outlineLevel="0" max="23" min="23" style="1" width="15.26"/>
  </cols>
  <sheetData>
    <row r="2" customFormat="false" ht="13.8" hidden="false" customHeight="false" outlineLevel="0" collapsed="false">
      <c r="B2" s="2" t="s">
        <v>70</v>
      </c>
      <c r="C2" s="2"/>
      <c r="D2" s="2"/>
      <c r="E2" s="2"/>
      <c r="F2" s="2"/>
      <c r="H2" s="2" t="s">
        <v>71</v>
      </c>
      <c r="I2" s="2"/>
      <c r="J2" s="2"/>
      <c r="L2" s="2" t="s">
        <v>72</v>
      </c>
      <c r="M2" s="2"/>
      <c r="N2" s="2"/>
      <c r="O2" s="2"/>
      <c r="Q2" s="2" t="s">
        <v>73</v>
      </c>
      <c r="R2" s="2"/>
      <c r="S2" s="2"/>
      <c r="T2" s="2"/>
      <c r="U2" s="2"/>
      <c r="V2" s="2"/>
      <c r="W2" s="2"/>
    </row>
    <row r="3" customFormat="false" ht="13.8" hidden="false" customHeight="false" outlineLevel="0" collapsed="false">
      <c r="B3" s="2" t="s">
        <v>74</v>
      </c>
      <c r="C3" s="2" t="s">
        <v>75</v>
      </c>
      <c r="D3" s="2" t="s">
        <v>76</v>
      </c>
      <c r="E3" s="2" t="s">
        <v>77</v>
      </c>
      <c r="F3" s="2" t="s">
        <v>78</v>
      </c>
      <c r="H3" s="2" t="s">
        <v>79</v>
      </c>
      <c r="I3" s="2" t="s">
        <v>80</v>
      </c>
      <c r="J3" s="2" t="s">
        <v>81</v>
      </c>
      <c r="L3" s="2" t="s">
        <v>82</v>
      </c>
      <c r="M3" s="2" t="s">
        <v>83</v>
      </c>
      <c r="N3" s="2" t="s">
        <v>84</v>
      </c>
      <c r="O3" s="2" t="s">
        <v>85</v>
      </c>
      <c r="Q3" s="2" t="s">
        <v>86</v>
      </c>
      <c r="R3" s="2" t="s">
        <v>87</v>
      </c>
      <c r="S3" s="2" t="s">
        <v>88</v>
      </c>
      <c r="T3" s="2" t="s">
        <v>89</v>
      </c>
      <c r="U3" s="2" t="s">
        <v>90</v>
      </c>
      <c r="V3" s="2" t="s">
        <v>91</v>
      </c>
      <c r="W3" s="2" t="s">
        <v>92</v>
      </c>
    </row>
    <row r="4" customFormat="false" ht="13.8" hidden="false" customHeight="false" outlineLevel="0" collapsed="false">
      <c r="B4" s="3" t="s">
        <v>20</v>
      </c>
      <c r="C4" s="3" t="s">
        <v>93</v>
      </c>
      <c r="D4" s="3" t="s">
        <v>94</v>
      </c>
      <c r="E4" s="3" t="s">
        <v>95</v>
      </c>
      <c r="F4" s="3" t="n">
        <f aca="false">T4*U4</f>
        <v>3200000</v>
      </c>
      <c r="H4" s="3" t="s">
        <v>93</v>
      </c>
      <c r="I4" s="4" t="s">
        <v>13</v>
      </c>
      <c r="J4" s="4" t="s">
        <v>14</v>
      </c>
      <c r="L4" s="3" t="s">
        <v>94</v>
      </c>
      <c r="M4" s="4" t="s">
        <v>15</v>
      </c>
      <c r="N4" s="4" t="s">
        <v>16</v>
      </c>
      <c r="O4" s="4" t="s">
        <v>14</v>
      </c>
      <c r="Q4" s="3" t="s">
        <v>95</v>
      </c>
      <c r="R4" s="4" t="s">
        <v>17</v>
      </c>
      <c r="S4" s="4" t="s">
        <v>18</v>
      </c>
      <c r="T4" s="4" t="n">
        <v>100</v>
      </c>
      <c r="U4" s="4" t="n">
        <v>32000</v>
      </c>
      <c r="V4" s="4" t="s">
        <v>19</v>
      </c>
      <c r="W4" s="4" t="s">
        <v>12</v>
      </c>
    </row>
    <row r="5" customFormat="false" ht="13.8" hidden="false" customHeight="false" outlineLevel="0" collapsed="false">
      <c r="B5" s="3" t="s">
        <v>20</v>
      </c>
      <c r="C5" s="3" t="s">
        <v>93</v>
      </c>
      <c r="D5" s="3" t="s">
        <v>94</v>
      </c>
      <c r="E5" s="3" t="s">
        <v>96</v>
      </c>
      <c r="F5" s="3" t="n">
        <f aca="false">T5*U5</f>
        <v>1400000</v>
      </c>
      <c r="H5" s="3" t="s">
        <v>97</v>
      </c>
      <c r="I5" s="4" t="s">
        <v>23</v>
      </c>
      <c r="J5" s="4" t="s">
        <v>24</v>
      </c>
      <c r="L5" s="3" t="s">
        <v>98</v>
      </c>
      <c r="M5" s="4" t="s">
        <v>25</v>
      </c>
      <c r="N5" s="4" t="s">
        <v>26</v>
      </c>
      <c r="O5" s="4" t="s">
        <v>24</v>
      </c>
      <c r="Q5" s="3" t="s">
        <v>96</v>
      </c>
      <c r="R5" s="4" t="s">
        <v>21</v>
      </c>
      <c r="S5" s="4" t="s">
        <v>18</v>
      </c>
      <c r="T5" s="4" t="n">
        <v>50</v>
      </c>
      <c r="U5" s="4" t="n">
        <v>28000</v>
      </c>
      <c r="V5" s="4" t="s">
        <v>19</v>
      </c>
      <c r="W5" s="4" t="s">
        <v>12</v>
      </c>
    </row>
    <row r="6" customFormat="false" ht="13.8" hidden="false" customHeight="false" outlineLevel="0" collapsed="false">
      <c r="B6" s="3" t="s">
        <v>30</v>
      </c>
      <c r="C6" s="3" t="s">
        <v>97</v>
      </c>
      <c r="D6" s="3" t="s">
        <v>98</v>
      </c>
      <c r="E6" s="3" t="s">
        <v>99</v>
      </c>
      <c r="F6" s="3" t="n">
        <f aca="false">T6*U6</f>
        <v>1350000</v>
      </c>
      <c r="H6" s="4" t="s">
        <v>100</v>
      </c>
      <c r="I6" s="4" t="s">
        <v>32</v>
      </c>
      <c r="J6" s="4" t="s">
        <v>33</v>
      </c>
      <c r="L6" s="3" t="s">
        <v>101</v>
      </c>
      <c r="M6" s="4" t="s">
        <v>34</v>
      </c>
      <c r="N6" s="4" t="s">
        <v>35</v>
      </c>
      <c r="O6" s="4" t="s">
        <v>33</v>
      </c>
      <c r="Q6" s="3" t="s">
        <v>99</v>
      </c>
      <c r="R6" s="4" t="s">
        <v>27</v>
      </c>
      <c r="S6" s="4" t="s">
        <v>28</v>
      </c>
      <c r="T6" s="4" t="n">
        <v>3</v>
      </c>
      <c r="U6" s="4" t="n">
        <v>450000</v>
      </c>
      <c r="V6" s="4" t="s">
        <v>29</v>
      </c>
      <c r="W6" s="4" t="s">
        <v>22</v>
      </c>
    </row>
    <row r="7" customFormat="false" ht="13.8" hidden="false" customHeight="false" outlineLevel="0" collapsed="false">
      <c r="B7" s="3" t="s">
        <v>39</v>
      </c>
      <c r="C7" s="3" t="s">
        <v>100</v>
      </c>
      <c r="D7" s="3" t="s">
        <v>101</v>
      </c>
      <c r="E7" s="3" t="s">
        <v>102</v>
      </c>
      <c r="F7" s="3" t="n">
        <f aca="false">T7*U7</f>
        <v>1900000</v>
      </c>
      <c r="H7" s="4" t="s">
        <v>103</v>
      </c>
      <c r="I7" s="4" t="s">
        <v>42</v>
      </c>
      <c r="J7" s="4" t="s">
        <v>43</v>
      </c>
      <c r="L7" s="4" t="s">
        <v>104</v>
      </c>
      <c r="M7" s="4" t="s">
        <v>44</v>
      </c>
      <c r="N7" s="4" t="s">
        <v>45</v>
      </c>
      <c r="O7" s="4" t="s">
        <v>43</v>
      </c>
      <c r="Q7" s="3" t="s">
        <v>102</v>
      </c>
      <c r="R7" s="4" t="s">
        <v>36</v>
      </c>
      <c r="S7" s="4" t="s">
        <v>37</v>
      </c>
      <c r="T7" s="4" t="n">
        <v>20</v>
      </c>
      <c r="U7" s="4" t="n">
        <v>95000</v>
      </c>
      <c r="V7" s="4" t="s">
        <v>38</v>
      </c>
      <c r="W7" s="4" t="s">
        <v>31</v>
      </c>
    </row>
    <row r="8" customFormat="false" ht="13.8" hidden="false" customHeight="false" outlineLevel="0" collapsed="false">
      <c r="B8" s="3" t="s">
        <v>39</v>
      </c>
      <c r="C8" s="3" t="s">
        <v>100</v>
      </c>
      <c r="D8" s="3" t="s">
        <v>101</v>
      </c>
      <c r="E8" s="3" t="s">
        <v>105</v>
      </c>
      <c r="F8" s="3" t="n">
        <f aca="false">T8*U8</f>
        <v>180000</v>
      </c>
      <c r="H8" s="4" t="s">
        <v>106</v>
      </c>
      <c r="I8" s="4" t="s">
        <v>55</v>
      </c>
      <c r="J8" s="4" t="s">
        <v>56</v>
      </c>
      <c r="L8" s="4" t="s">
        <v>107</v>
      </c>
      <c r="M8" s="4" t="s">
        <v>57</v>
      </c>
      <c r="N8" s="4" t="s">
        <v>58</v>
      </c>
      <c r="O8" s="4" t="s">
        <v>56</v>
      </c>
      <c r="Q8" s="3" t="s">
        <v>105</v>
      </c>
      <c r="R8" s="4" t="s">
        <v>40</v>
      </c>
      <c r="S8" s="4" t="s">
        <v>37</v>
      </c>
      <c r="T8" s="4" t="n">
        <v>10</v>
      </c>
      <c r="U8" s="4" t="n">
        <v>18000</v>
      </c>
      <c r="V8" s="4" t="s">
        <v>38</v>
      </c>
      <c r="W8" s="4" t="s">
        <v>31</v>
      </c>
    </row>
    <row r="9" customFormat="false" ht="13.8" hidden="false" customHeight="false" outlineLevel="0" collapsed="false">
      <c r="B9" s="3" t="s">
        <v>48</v>
      </c>
      <c r="C9" s="3" t="s">
        <v>103</v>
      </c>
      <c r="D9" s="3" t="s">
        <v>104</v>
      </c>
      <c r="E9" s="3" t="s">
        <v>108</v>
      </c>
      <c r="F9" s="3" t="n">
        <f aca="false">T9*U9</f>
        <v>480000</v>
      </c>
      <c r="H9" s="4" t="s">
        <v>109</v>
      </c>
      <c r="I9" s="4" t="s">
        <v>64</v>
      </c>
      <c r="J9" s="4" t="s">
        <v>43</v>
      </c>
      <c r="Q9" s="3" t="s">
        <v>108</v>
      </c>
      <c r="R9" s="4" t="s">
        <v>46</v>
      </c>
      <c r="S9" s="4" t="s">
        <v>28</v>
      </c>
      <c r="T9" s="4" t="n">
        <v>40</v>
      </c>
      <c r="U9" s="4" t="n">
        <v>12000</v>
      </c>
      <c r="V9" s="4" t="s">
        <v>47</v>
      </c>
      <c r="W9" s="4" t="s">
        <v>41</v>
      </c>
    </row>
    <row r="10" customFormat="false" ht="13.8" hidden="false" customHeight="false" outlineLevel="0" collapsed="false">
      <c r="B10" s="3" t="s">
        <v>50</v>
      </c>
      <c r="C10" s="3" t="s">
        <v>106</v>
      </c>
      <c r="D10" s="3" t="s">
        <v>107</v>
      </c>
      <c r="E10" s="3" t="s">
        <v>95</v>
      </c>
      <c r="F10" s="3" t="n">
        <f aca="false">T10*U10</f>
        <v>3840000</v>
      </c>
      <c r="H10" s="4" t="s">
        <v>110</v>
      </c>
      <c r="I10" s="4" t="s">
        <v>67</v>
      </c>
      <c r="J10" s="4" t="s">
        <v>68</v>
      </c>
      <c r="Q10" s="3" t="s">
        <v>95</v>
      </c>
      <c r="R10" s="4" t="s">
        <v>17</v>
      </c>
      <c r="S10" s="4" t="s">
        <v>18</v>
      </c>
      <c r="T10" s="4" t="n">
        <v>120</v>
      </c>
      <c r="U10" s="4" t="n">
        <v>32000</v>
      </c>
      <c r="V10" s="4" t="s">
        <v>19</v>
      </c>
      <c r="W10" s="4" t="s">
        <v>49</v>
      </c>
    </row>
    <row r="11" customFormat="false" ht="13.8" hidden="false" customHeight="false" outlineLevel="0" collapsed="false">
      <c r="B11" s="3" t="s">
        <v>53</v>
      </c>
      <c r="C11" s="3" t="s">
        <v>109</v>
      </c>
      <c r="D11" s="3" t="s">
        <v>111</v>
      </c>
      <c r="E11" s="4" t="s">
        <v>112</v>
      </c>
      <c r="F11" s="3" t="n">
        <f aca="false">T11*U11</f>
        <v>375000</v>
      </c>
      <c r="Q11" s="4" t="s">
        <v>112</v>
      </c>
      <c r="R11" s="4" t="s">
        <v>52</v>
      </c>
      <c r="S11" s="4" t="s">
        <v>28</v>
      </c>
      <c r="T11" s="4" t="n">
        <v>25</v>
      </c>
      <c r="U11" s="4" t="n">
        <v>15000</v>
      </c>
      <c r="V11" s="4" t="s">
        <v>29</v>
      </c>
      <c r="W11" s="4" t="s">
        <v>51</v>
      </c>
    </row>
    <row r="12" customFormat="false" ht="13.8" hidden="false" customHeight="false" outlineLevel="0" collapsed="false">
      <c r="B12" s="3" t="s">
        <v>61</v>
      </c>
      <c r="C12" s="3" t="s">
        <v>106</v>
      </c>
      <c r="D12" s="3" t="s">
        <v>113</v>
      </c>
      <c r="E12" s="4" t="s">
        <v>114</v>
      </c>
      <c r="F12" s="3" t="n">
        <f aca="false">T12*U12</f>
        <v>1500000</v>
      </c>
      <c r="Q12" s="4" t="s">
        <v>114</v>
      </c>
      <c r="R12" s="4" t="s">
        <v>59</v>
      </c>
      <c r="S12" s="4" t="s">
        <v>60</v>
      </c>
      <c r="T12" s="4" t="n">
        <v>60</v>
      </c>
      <c r="U12" s="4" t="n">
        <v>25000</v>
      </c>
      <c r="V12" s="4" t="s">
        <v>38</v>
      </c>
      <c r="W12" s="4" t="s">
        <v>54</v>
      </c>
    </row>
    <row r="13" customFormat="false" ht="13.8" hidden="false" customHeight="false" outlineLevel="0" collapsed="false">
      <c r="B13" s="3" t="s">
        <v>61</v>
      </c>
      <c r="C13" s="3" t="s">
        <v>106</v>
      </c>
      <c r="D13" s="3" t="s">
        <v>113</v>
      </c>
      <c r="E13" s="4" t="s">
        <v>115</v>
      </c>
      <c r="F13" s="3" t="n">
        <f aca="false">T13*U13</f>
        <v>2160000</v>
      </c>
      <c r="Q13" s="4" t="s">
        <v>115</v>
      </c>
      <c r="R13" s="4" t="s">
        <v>62</v>
      </c>
      <c r="S13" s="4" t="s">
        <v>60</v>
      </c>
      <c r="T13" s="4" t="n">
        <v>80</v>
      </c>
      <c r="U13" s="4" t="n">
        <v>27000</v>
      </c>
      <c r="V13" s="4" t="s">
        <v>38</v>
      </c>
      <c r="W13" s="4" t="s">
        <v>54</v>
      </c>
    </row>
    <row r="14" customFormat="false" ht="13.8" hidden="false" customHeight="false" outlineLevel="0" collapsed="false">
      <c r="B14" s="3" t="s">
        <v>65</v>
      </c>
      <c r="C14" s="3" t="s">
        <v>109</v>
      </c>
      <c r="D14" s="3" t="s">
        <v>104</v>
      </c>
      <c r="E14" s="4" t="s">
        <v>102</v>
      </c>
      <c r="F14" s="3" t="n">
        <f aca="false">T14*U14</f>
        <v>1425000</v>
      </c>
      <c r="L14" s="0"/>
      <c r="Q14" s="4" t="s">
        <v>102</v>
      </c>
      <c r="R14" s="4" t="s">
        <v>36</v>
      </c>
      <c r="S14" s="4" t="s">
        <v>37</v>
      </c>
      <c r="T14" s="4" t="n">
        <v>15</v>
      </c>
      <c r="U14" s="4" t="n">
        <v>95000</v>
      </c>
      <c r="V14" s="4" t="s">
        <v>19</v>
      </c>
      <c r="W14" s="4" t="s">
        <v>63</v>
      </c>
    </row>
    <row r="15" customFormat="false" ht="13.8" hidden="false" customHeight="false" outlineLevel="0" collapsed="false">
      <c r="B15" s="3" t="s">
        <v>69</v>
      </c>
      <c r="C15" s="3" t="s">
        <v>110</v>
      </c>
      <c r="D15" s="3" t="s">
        <v>101</v>
      </c>
      <c r="E15" s="4" t="s">
        <v>99</v>
      </c>
      <c r="F15" s="3" t="n">
        <f aca="false">T15*U15</f>
        <v>900000</v>
      </c>
      <c r="L15" s="0"/>
      <c r="Q15" s="4" t="s">
        <v>99</v>
      </c>
      <c r="R15" s="4" t="s">
        <v>27</v>
      </c>
      <c r="S15" s="4" t="s">
        <v>28</v>
      </c>
      <c r="T15" s="4" t="n">
        <v>2</v>
      </c>
      <c r="U15" s="4" t="n">
        <v>450000</v>
      </c>
      <c r="V15" s="4" t="s">
        <v>29</v>
      </c>
      <c r="W15" s="4" t="s">
        <v>66</v>
      </c>
    </row>
    <row r="16" customFormat="false" ht="13.8" hidden="false" customHeight="false" outlineLevel="0" collapsed="false">
      <c r="J16" s="0"/>
      <c r="L16" s="0"/>
    </row>
    <row r="17" customFormat="false" ht="13.8" hidden="false" customHeight="false" outlineLevel="0" collapsed="false">
      <c r="J17" s="0"/>
      <c r="L17" s="0"/>
    </row>
    <row r="18" customFormat="false" ht="13.8" hidden="false" customHeight="false" outlineLevel="0" collapsed="false">
      <c r="J18" s="0"/>
      <c r="L18" s="0"/>
    </row>
    <row r="19" customFormat="false" ht="13.8" hidden="false" customHeight="false" outlineLevel="0" collapsed="false">
      <c r="J19" s="0"/>
      <c r="K19" s="1"/>
      <c r="L19" s="0"/>
    </row>
    <row r="20" customFormat="false" ht="13.8" hidden="false" customHeight="false" outlineLevel="0" collapsed="false">
      <c r="J20" s="0"/>
      <c r="K20" s="1"/>
      <c r="L20" s="0"/>
    </row>
    <row r="21" customFormat="false" ht="13.8" hidden="false" customHeight="false" outlineLevel="0" collapsed="false">
      <c r="J21" s="0"/>
      <c r="K21" s="1"/>
      <c r="L21" s="0"/>
    </row>
    <row r="22" customFormat="false" ht="13.8" hidden="false" customHeight="false" outlineLevel="0" collapsed="false">
      <c r="J22" s="0"/>
      <c r="K22" s="1"/>
      <c r="L22" s="0"/>
    </row>
    <row r="23" customFormat="false" ht="13.8" hidden="false" customHeight="false" outlineLevel="0" collapsed="false">
      <c r="J23" s="0"/>
      <c r="K23" s="1"/>
      <c r="L23" s="0"/>
    </row>
    <row r="24" customFormat="false" ht="13.8" hidden="false" customHeight="false" outlineLevel="0" collapsed="false">
      <c r="J24" s="0"/>
      <c r="K24" s="1"/>
      <c r="L24" s="0"/>
    </row>
    <row r="25" customFormat="false" ht="13.8" hidden="false" customHeight="false" outlineLevel="0" collapsed="false">
      <c r="J25" s="0"/>
      <c r="K25" s="1"/>
      <c r="L25" s="0"/>
    </row>
    <row r="26" customFormat="false" ht="13.8" hidden="false" customHeight="false" outlineLevel="0" collapsed="false">
      <c r="J26" s="0"/>
      <c r="K26" s="1"/>
      <c r="L26" s="0"/>
    </row>
    <row r="27" customFormat="false" ht="13.8" hidden="false" customHeight="false" outlineLevel="0" collapsed="false">
      <c r="J27" s="0"/>
      <c r="K27" s="1"/>
      <c r="L27" s="0"/>
    </row>
    <row r="28" customFormat="false" ht="13.8" hidden="false" customHeight="false" outlineLevel="0" collapsed="false">
      <c r="J28" s="0"/>
      <c r="K28" s="1"/>
      <c r="L28" s="0"/>
    </row>
    <row r="29" customFormat="false" ht="13.8" hidden="false" customHeight="false" outlineLevel="0" collapsed="false">
      <c r="J29" s="0"/>
      <c r="K29" s="1"/>
      <c r="L29" s="0"/>
    </row>
    <row r="30" customFormat="false" ht="13.8" hidden="false" customHeight="false" outlineLevel="0" collapsed="false">
      <c r="J30" s="0"/>
      <c r="K30" s="1"/>
    </row>
    <row r="31" customFormat="false" ht="13.8" hidden="false" customHeight="false" outlineLevel="0" collapsed="false">
      <c r="J31" s="0"/>
      <c r="K31" s="1"/>
    </row>
    <row r="32" customFormat="false" ht="13.8" hidden="false" customHeight="false" outlineLevel="0" collapsed="false">
      <c r="J32" s="0"/>
      <c r="K32" s="1"/>
    </row>
    <row r="33" customFormat="false" ht="13.8" hidden="false" customHeight="false" outlineLevel="0" collapsed="false">
      <c r="J33" s="0"/>
      <c r="K33" s="1"/>
    </row>
    <row r="34" customFormat="false" ht="13.8" hidden="false" customHeight="false" outlineLevel="0" collapsed="false">
      <c r="J34" s="0"/>
      <c r="K34" s="1"/>
    </row>
  </sheetData>
  <mergeCells count="4">
    <mergeCell ref="B2:F2"/>
    <mergeCell ref="H2:J2"/>
    <mergeCell ref="L2:O2"/>
    <mergeCell ref="Q2:W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B37"/>
  <sheetViews>
    <sheetView showFormulas="false" showGridLines="true" showRowColHeaders="true" showZeros="true" rightToLeft="false" tabSelected="true" showOutlineSymbols="true" defaultGridColor="true" view="normal" topLeftCell="O1" colorId="64" zoomScale="91" zoomScaleNormal="91" zoomScalePageLayoutView="100" workbookViewId="0">
      <selection pane="topLeft" activeCell="I40" activeCellId="0" sqref="I40"/>
    </sheetView>
  </sheetViews>
  <sheetFormatPr defaultColWidth="9.14453125" defaultRowHeight="13.8" zeroHeight="false" outlineLevelRow="0" outlineLevelCol="0"/>
  <cols>
    <col collapsed="false" customWidth="true" hidden="false" outlineLevel="0" max="2" min="2" style="1" width="16.73"/>
    <col collapsed="false" customWidth="true" hidden="false" outlineLevel="0" max="3" min="3" style="1" width="9.87"/>
    <col collapsed="false" customWidth="true" hidden="false" outlineLevel="0" max="4" min="4" style="1" width="14.77"/>
    <col collapsed="false" customWidth="true" hidden="false" outlineLevel="0" max="5" min="5" style="1" width="19.55"/>
    <col collapsed="false" customWidth="true" hidden="false" outlineLevel="0" max="6" min="6" style="0" width="15.71"/>
    <col collapsed="false" customWidth="true" hidden="false" outlineLevel="0" max="8" min="8" style="1" width="15.62"/>
    <col collapsed="false" customWidth="true" hidden="false" outlineLevel="0" max="9" min="9" style="1" width="21.51"/>
    <col collapsed="false" customWidth="true" hidden="false" outlineLevel="0" max="10" min="10" style="1" width="16.36"/>
    <col collapsed="false" customWidth="true" hidden="false" outlineLevel="0" max="12" min="12" style="1" width="15.62"/>
    <col collapsed="false" customWidth="true" hidden="false" outlineLevel="0" max="13" min="13" style="1" width="21.51"/>
    <col collapsed="false" customWidth="true" hidden="false" outlineLevel="0" max="14" min="14" style="1" width="21.03"/>
    <col collapsed="false" customWidth="true" hidden="false" outlineLevel="0" max="15" min="15" style="1" width="16.36"/>
    <col collapsed="false" customWidth="true" hidden="false" outlineLevel="0" max="17" min="17" style="1" width="11.26"/>
    <col collapsed="false" customWidth="true" hidden="false" outlineLevel="0" max="18" min="18" style="1" width="19.48"/>
    <col collapsed="false" customWidth="true" hidden="false" outlineLevel="0" max="19" min="19" style="1" width="12.2"/>
    <col collapsed="false" customWidth="true" hidden="false" outlineLevel="0" max="20" min="20" style="1" width="14.4"/>
    <col collapsed="false" customWidth="true" hidden="false" outlineLevel="0" max="21" min="21" style="1" width="13.17"/>
    <col collapsed="false" customWidth="true" hidden="false" outlineLevel="0" max="22" min="22" style="1" width="15.98"/>
    <col collapsed="false" customWidth="true" hidden="false" outlineLevel="0" max="23" min="23" style="1" width="17.19"/>
    <col collapsed="false" customWidth="true" hidden="false" outlineLevel="0" max="24" min="24" style="0" width="11.26"/>
    <col collapsed="false" customWidth="true" hidden="false" outlineLevel="0" max="25" min="25" style="0" width="14.76"/>
  </cols>
  <sheetData>
    <row r="2" customFormat="false" ht="13.8" hidden="false" customHeight="false" outlineLevel="0" collapsed="false">
      <c r="B2" s="2" t="s">
        <v>70</v>
      </c>
      <c r="C2" s="2"/>
      <c r="D2" s="2"/>
      <c r="E2" s="2"/>
      <c r="F2" s="2"/>
      <c r="H2" s="2" t="s">
        <v>71</v>
      </c>
      <c r="I2" s="2"/>
      <c r="J2" s="2"/>
      <c r="L2" s="2" t="s">
        <v>72</v>
      </c>
      <c r="M2" s="2"/>
      <c r="N2" s="2"/>
      <c r="O2" s="2"/>
      <c r="Q2" s="5" t="s">
        <v>116</v>
      </c>
      <c r="R2" s="5"/>
      <c r="S2" s="5"/>
      <c r="T2" s="5"/>
      <c r="U2" s="6"/>
      <c r="V2" s="7" t="s">
        <v>117</v>
      </c>
      <c r="W2" s="7"/>
      <c r="X2" s="7"/>
      <c r="Y2" s="7"/>
    </row>
    <row r="3" customFormat="false" ht="13.8" hidden="false" customHeight="false" outlineLevel="0" collapsed="false">
      <c r="B3" s="2" t="s">
        <v>74</v>
      </c>
      <c r="C3" s="2" t="s">
        <v>75</v>
      </c>
      <c r="D3" s="2" t="s">
        <v>76</v>
      </c>
      <c r="E3" s="2" t="s">
        <v>92</v>
      </c>
      <c r="F3" s="2" t="s">
        <v>91</v>
      </c>
      <c r="H3" s="2" t="s">
        <v>79</v>
      </c>
      <c r="I3" s="2" t="s">
        <v>80</v>
      </c>
      <c r="J3" s="2" t="s">
        <v>81</v>
      </c>
      <c r="L3" s="2" t="s">
        <v>82</v>
      </c>
      <c r="M3" s="2" t="s">
        <v>83</v>
      </c>
      <c r="N3" s="2" t="s">
        <v>84</v>
      </c>
      <c r="O3" s="2" t="s">
        <v>85</v>
      </c>
      <c r="Q3" s="8" t="s">
        <v>86</v>
      </c>
      <c r="R3" s="5" t="s">
        <v>87</v>
      </c>
      <c r="S3" s="5" t="s">
        <v>88</v>
      </c>
      <c r="T3" s="5" t="s">
        <v>90</v>
      </c>
      <c r="U3" s="0"/>
      <c r="V3" s="8" t="s">
        <v>118</v>
      </c>
      <c r="W3" s="9" t="s">
        <v>74</v>
      </c>
      <c r="X3" s="8" t="s">
        <v>86</v>
      </c>
      <c r="Y3" s="9" t="s">
        <v>89</v>
      </c>
    </row>
    <row r="4" customFormat="false" ht="13.8" hidden="false" customHeight="false" outlineLevel="0" collapsed="false">
      <c r="B4" s="10" t="s">
        <v>20</v>
      </c>
      <c r="C4" s="10" t="s">
        <v>93</v>
      </c>
      <c r="D4" s="10" t="s">
        <v>94</v>
      </c>
      <c r="E4" s="11" t="s">
        <v>12</v>
      </c>
      <c r="F4" s="11" t="s">
        <v>119</v>
      </c>
      <c r="H4" s="3" t="s">
        <v>93</v>
      </c>
      <c r="I4" s="4" t="s">
        <v>13</v>
      </c>
      <c r="J4" s="4" t="s">
        <v>120</v>
      </c>
      <c r="L4" s="3" t="s">
        <v>94</v>
      </c>
      <c r="M4" s="4" t="s">
        <v>15</v>
      </c>
      <c r="N4" s="4" t="s">
        <v>121</v>
      </c>
      <c r="O4" s="4" t="s">
        <v>14</v>
      </c>
      <c r="Q4" s="3" t="s">
        <v>95</v>
      </c>
      <c r="R4" s="4" t="s">
        <v>17</v>
      </c>
      <c r="S4" s="12" t="s">
        <v>122</v>
      </c>
      <c r="T4" s="13" t="n">
        <v>32000</v>
      </c>
      <c r="U4" s="0"/>
      <c r="V4" s="14"/>
      <c r="W4" s="14"/>
      <c r="X4" s="14"/>
      <c r="Y4" s="11" t="n">
        <v>100</v>
      </c>
    </row>
    <row r="5" customFormat="false" ht="13.8" hidden="false" customHeight="false" outlineLevel="0" collapsed="false">
      <c r="B5" s="10" t="s">
        <v>30</v>
      </c>
      <c r="C5" s="10" t="s">
        <v>97</v>
      </c>
      <c r="D5" s="10" t="s">
        <v>98</v>
      </c>
      <c r="E5" s="11" t="s">
        <v>22</v>
      </c>
      <c r="F5" s="11" t="s">
        <v>123</v>
      </c>
      <c r="H5" s="3" t="s">
        <v>97</v>
      </c>
      <c r="I5" s="4" t="s">
        <v>23</v>
      </c>
      <c r="J5" s="4" t="s">
        <v>124</v>
      </c>
      <c r="L5" s="3" t="s">
        <v>98</v>
      </c>
      <c r="M5" s="4" t="s">
        <v>25</v>
      </c>
      <c r="N5" s="4" t="s">
        <v>125</v>
      </c>
      <c r="O5" s="4" t="s">
        <v>24</v>
      </c>
      <c r="Q5" s="3" t="s">
        <v>96</v>
      </c>
      <c r="R5" s="4" t="s">
        <v>21</v>
      </c>
      <c r="S5" s="12" t="s">
        <v>122</v>
      </c>
      <c r="T5" s="13" t="n">
        <v>28000</v>
      </c>
      <c r="U5" s="0"/>
      <c r="V5" s="0"/>
      <c r="W5" s="0"/>
    </row>
    <row r="6" customFormat="false" ht="13.8" hidden="false" customHeight="false" outlineLevel="0" collapsed="false">
      <c r="B6" s="10" t="s">
        <v>39</v>
      </c>
      <c r="C6" s="10" t="s">
        <v>100</v>
      </c>
      <c r="D6" s="10" t="s">
        <v>101</v>
      </c>
      <c r="E6" s="11" t="s">
        <v>31</v>
      </c>
      <c r="F6" s="11" t="s">
        <v>126</v>
      </c>
      <c r="H6" s="4" t="s">
        <v>100</v>
      </c>
      <c r="I6" s="4" t="s">
        <v>32</v>
      </c>
      <c r="J6" s="4" t="s">
        <v>127</v>
      </c>
      <c r="L6" s="3" t="s">
        <v>101</v>
      </c>
      <c r="M6" s="4" t="s">
        <v>34</v>
      </c>
      <c r="N6" s="4" t="s">
        <v>128</v>
      </c>
      <c r="O6" s="4" t="s">
        <v>33</v>
      </c>
      <c r="Q6" s="3" t="s">
        <v>99</v>
      </c>
      <c r="R6" s="4" t="s">
        <v>27</v>
      </c>
      <c r="S6" s="12" t="s">
        <v>129</v>
      </c>
      <c r="T6" s="13" t="n">
        <v>450000</v>
      </c>
      <c r="U6" s="0"/>
      <c r="V6" s="0"/>
      <c r="W6" s="0"/>
    </row>
    <row r="7" customFormat="false" ht="13.8" hidden="false" customHeight="false" outlineLevel="0" collapsed="false">
      <c r="B7" s="10" t="s">
        <v>48</v>
      </c>
      <c r="C7" s="10" t="s">
        <v>103</v>
      </c>
      <c r="D7" s="10" t="s">
        <v>104</v>
      </c>
      <c r="E7" s="13" t="s">
        <v>41</v>
      </c>
      <c r="F7" s="13" t="s">
        <v>130</v>
      </c>
      <c r="H7" s="4" t="s">
        <v>103</v>
      </c>
      <c r="I7" s="4" t="s">
        <v>42</v>
      </c>
      <c r="J7" s="4" t="s">
        <v>131</v>
      </c>
      <c r="L7" s="4" t="s">
        <v>104</v>
      </c>
      <c r="M7" s="4" t="s">
        <v>44</v>
      </c>
      <c r="N7" s="4" t="s">
        <v>132</v>
      </c>
      <c r="O7" s="4" t="s">
        <v>43</v>
      </c>
      <c r="Q7" s="3" t="s">
        <v>102</v>
      </c>
      <c r="R7" s="4" t="s">
        <v>36</v>
      </c>
      <c r="S7" s="12" t="s">
        <v>133</v>
      </c>
      <c r="T7" s="13" t="n">
        <v>95000</v>
      </c>
      <c r="U7" s="0"/>
      <c r="V7" s="0"/>
      <c r="W7" s="0"/>
    </row>
    <row r="8" customFormat="false" ht="13.8" hidden="false" customHeight="false" outlineLevel="0" collapsed="false">
      <c r="B8" s="10" t="s">
        <v>50</v>
      </c>
      <c r="C8" s="10" t="s">
        <v>93</v>
      </c>
      <c r="D8" s="12" t="s">
        <v>94</v>
      </c>
      <c r="E8" s="13" t="s">
        <v>49</v>
      </c>
      <c r="F8" s="11" t="s">
        <v>119</v>
      </c>
      <c r="H8" s="4" t="s">
        <v>106</v>
      </c>
      <c r="I8" s="4" t="s">
        <v>55</v>
      </c>
      <c r="J8" s="4" t="s">
        <v>134</v>
      </c>
      <c r="L8" s="4" t="s">
        <v>107</v>
      </c>
      <c r="M8" s="4" t="s">
        <v>15</v>
      </c>
      <c r="N8" s="4" t="s">
        <v>121</v>
      </c>
      <c r="O8" s="4" t="s">
        <v>14</v>
      </c>
      <c r="Q8" s="3" t="s">
        <v>105</v>
      </c>
      <c r="R8" s="4" t="s">
        <v>40</v>
      </c>
      <c r="S8" s="12" t="s">
        <v>133</v>
      </c>
      <c r="T8" s="13" t="n">
        <v>18000</v>
      </c>
      <c r="U8" s="0"/>
      <c r="V8" s="0"/>
      <c r="W8" s="0"/>
    </row>
    <row r="9" customFormat="false" ht="13.8" hidden="false" customHeight="false" outlineLevel="0" collapsed="false">
      <c r="B9" s="10" t="s">
        <v>61</v>
      </c>
      <c r="C9" s="10" t="s">
        <v>106</v>
      </c>
      <c r="D9" s="10" t="s">
        <v>111</v>
      </c>
      <c r="E9" s="11" t="s">
        <v>54</v>
      </c>
      <c r="F9" s="11" t="s">
        <v>126</v>
      </c>
      <c r="H9" s="4" t="s">
        <v>109</v>
      </c>
      <c r="I9" s="4" t="s">
        <v>64</v>
      </c>
      <c r="J9" s="4" t="s">
        <v>131</v>
      </c>
      <c r="L9" s="4" t="s">
        <v>111</v>
      </c>
      <c r="M9" s="4" t="s">
        <v>57</v>
      </c>
      <c r="N9" s="4" t="s">
        <v>135</v>
      </c>
      <c r="O9" s="4" t="s">
        <v>56</v>
      </c>
      <c r="Q9" s="3" t="s">
        <v>108</v>
      </c>
      <c r="R9" s="4" t="s">
        <v>46</v>
      </c>
      <c r="S9" s="12" t="s">
        <v>129</v>
      </c>
      <c r="T9" s="13" t="n">
        <v>12000</v>
      </c>
      <c r="U9" s="0"/>
      <c r="V9" s="0"/>
      <c r="W9" s="0"/>
    </row>
    <row r="10" customFormat="false" ht="13.8" hidden="false" customHeight="false" outlineLevel="0" collapsed="false">
      <c r="B10" s="10" t="s">
        <v>65</v>
      </c>
      <c r="C10" s="10" t="s">
        <v>109</v>
      </c>
      <c r="D10" s="10" t="s">
        <v>104</v>
      </c>
      <c r="E10" s="11" t="s">
        <v>63</v>
      </c>
      <c r="F10" s="11" t="s">
        <v>119</v>
      </c>
      <c r="H10" s="4" t="s">
        <v>110</v>
      </c>
      <c r="I10" s="4" t="s">
        <v>67</v>
      </c>
      <c r="J10" s="4" t="s">
        <v>136</v>
      </c>
      <c r="Q10" s="3" t="s">
        <v>112</v>
      </c>
      <c r="R10" s="4" t="s">
        <v>52</v>
      </c>
      <c r="S10" s="12" t="s">
        <v>129</v>
      </c>
      <c r="T10" s="13" t="n">
        <v>15000</v>
      </c>
      <c r="U10" s="0"/>
      <c r="V10" s="0"/>
      <c r="W10" s="0"/>
    </row>
    <row r="11" customFormat="false" ht="13.8" hidden="false" customHeight="false" outlineLevel="0" collapsed="false">
      <c r="B11" s="10" t="s">
        <v>69</v>
      </c>
      <c r="C11" s="3" t="s">
        <v>110</v>
      </c>
      <c r="D11" s="3" t="s">
        <v>101</v>
      </c>
      <c r="E11" s="11" t="s">
        <v>66</v>
      </c>
      <c r="F11" s="11" t="s">
        <v>123</v>
      </c>
      <c r="Q11" s="3" t="s">
        <v>114</v>
      </c>
      <c r="R11" s="4" t="s">
        <v>59</v>
      </c>
      <c r="S11" s="12" t="s">
        <v>137</v>
      </c>
      <c r="T11" s="13" t="n">
        <v>25000</v>
      </c>
      <c r="U11" s="0"/>
      <c r="V11" s="0"/>
      <c r="W11" s="0"/>
    </row>
    <row r="12" customFormat="false" ht="13.8" hidden="false" customHeight="false" outlineLevel="0" collapsed="false">
      <c r="B12" s="0"/>
      <c r="C12" s="0"/>
      <c r="D12" s="0"/>
      <c r="H12" s="0"/>
      <c r="I12" s="0"/>
      <c r="Q12" s="3" t="s">
        <v>115</v>
      </c>
      <c r="R12" s="4" t="s">
        <v>62</v>
      </c>
      <c r="S12" s="12" t="s">
        <v>137</v>
      </c>
      <c r="T12" s="13" t="n">
        <v>27000</v>
      </c>
      <c r="U12" s="0"/>
      <c r="V12" s="0"/>
      <c r="W12" s="0"/>
    </row>
    <row r="13" customFormat="false" ht="13.8" hidden="false" customHeight="false" outlineLevel="0" collapsed="false">
      <c r="B13" s="0"/>
      <c r="C13" s="0"/>
      <c r="D13" s="0"/>
      <c r="E13" s="0"/>
      <c r="H13" s="0"/>
      <c r="I13" s="0"/>
      <c r="J13" s="0"/>
      <c r="Q13" s="0"/>
      <c r="R13" s="0"/>
      <c r="S13" s="0"/>
      <c r="T13" s="0"/>
      <c r="U13" s="0"/>
      <c r="V13" s="0"/>
      <c r="W13" s="0"/>
    </row>
    <row r="14" customFormat="false" ht="13.8" hidden="false" customHeight="false" outlineLevel="0" collapsed="false">
      <c r="B14" s="0"/>
      <c r="C14" s="0"/>
      <c r="D14" s="0"/>
      <c r="E14" s="0"/>
      <c r="H14" s="0"/>
      <c r="I14" s="0"/>
      <c r="J14" s="0"/>
      <c r="Q14" s="0"/>
      <c r="R14" s="0"/>
      <c r="S14" s="0"/>
      <c r="T14" s="0"/>
      <c r="U14" s="0"/>
      <c r="V14" s="0"/>
      <c r="W14" s="0"/>
    </row>
    <row r="15" customFormat="false" ht="13.8" hidden="false" customHeight="false" outlineLevel="0" collapsed="false">
      <c r="B15" s="0"/>
      <c r="C15" s="0"/>
      <c r="D15" s="0"/>
      <c r="E15" s="0"/>
      <c r="H15" s="0"/>
      <c r="I15" s="0"/>
      <c r="J15" s="0"/>
      <c r="L15" s="0"/>
      <c r="Q15" s="0"/>
      <c r="R15" s="0"/>
      <c r="S15" s="0"/>
      <c r="T15" s="0"/>
      <c r="U15" s="0"/>
      <c r="V15" s="0"/>
      <c r="W15" s="0"/>
    </row>
    <row r="16" customFormat="false" ht="13.8" hidden="false" customHeight="false" outlineLevel="0" collapsed="false">
      <c r="H16" s="0"/>
      <c r="I16" s="0"/>
      <c r="J16" s="0"/>
      <c r="L16" s="0"/>
      <c r="M16" s="0"/>
      <c r="U16" s="0"/>
    </row>
    <row r="17" customFormat="false" ht="13.8" hidden="false" customHeight="false" outlineLevel="0" collapsed="false">
      <c r="H17" s="0"/>
      <c r="I17" s="0"/>
      <c r="J17" s="0"/>
      <c r="L17" s="0"/>
      <c r="M17" s="0"/>
      <c r="U17" s="0"/>
    </row>
    <row r="18" customFormat="false" ht="13.8" hidden="false" customHeight="false" outlineLevel="0" collapsed="false">
      <c r="H18" s="0"/>
      <c r="I18" s="0"/>
      <c r="J18" s="0"/>
      <c r="L18" s="0"/>
      <c r="M18" s="0"/>
      <c r="U18" s="0"/>
    </row>
    <row r="19" customFormat="false" ht="13.8" hidden="false" customHeight="false" outlineLevel="0" collapsed="false">
      <c r="H19" s="0"/>
      <c r="I19" s="0"/>
      <c r="J19" s="0"/>
      <c r="L19" s="0"/>
      <c r="M19" s="0"/>
      <c r="Q19" s="0"/>
      <c r="R19" s="0"/>
      <c r="S19" s="0"/>
      <c r="T19" s="0"/>
      <c r="U19" s="0"/>
      <c r="V19" s="2" t="s">
        <v>86</v>
      </c>
      <c r="W19" s="0"/>
    </row>
    <row r="20" customFormat="false" ht="13.8" hidden="false" customHeight="false" outlineLevel="0" collapsed="false">
      <c r="H20" s="0"/>
      <c r="I20" s="0"/>
      <c r="J20" s="0"/>
      <c r="L20" s="0"/>
      <c r="M20" s="0"/>
      <c r="Q20" s="0"/>
      <c r="R20" s="0"/>
      <c r="S20" s="0"/>
      <c r="T20" s="0"/>
      <c r="U20" s="0"/>
      <c r="V20" s="0"/>
      <c r="W20" s="0"/>
    </row>
    <row r="21" customFormat="false" ht="13.8" hidden="false" customHeight="false" outlineLevel="0" collapsed="false">
      <c r="C21" s="0"/>
      <c r="D21" s="0"/>
      <c r="E21" s="0"/>
      <c r="H21" s="0"/>
      <c r="I21" s="0"/>
      <c r="J21" s="0"/>
      <c r="L21" s="0"/>
      <c r="M21" s="0"/>
      <c r="Q21" s="0"/>
      <c r="R21" s="0"/>
      <c r="S21" s="0"/>
      <c r="T21" s="0"/>
      <c r="U21" s="0"/>
      <c r="V21" s="3" t="s">
        <v>96</v>
      </c>
      <c r="W21" s="0"/>
      <c r="Y21" s="4" t="n">
        <v>50</v>
      </c>
      <c r="Z21" s="4" t="n">
        <v>28000</v>
      </c>
      <c r="AA21" s="4" t="s">
        <v>19</v>
      </c>
      <c r="AB21" s="4" t="s">
        <v>12</v>
      </c>
    </row>
    <row r="22" customFormat="false" ht="13.8" hidden="false" customHeight="false" outlineLevel="0" collapsed="false">
      <c r="C22" s="0"/>
      <c r="D22" s="0"/>
      <c r="E22" s="0"/>
      <c r="H22" s="0"/>
      <c r="I22" s="0"/>
      <c r="J22" s="0"/>
      <c r="L22" s="0"/>
      <c r="M22" s="0"/>
      <c r="Q22" s="0"/>
      <c r="R22" s="0"/>
      <c r="S22" s="0"/>
      <c r="T22" s="0"/>
      <c r="U22" s="0"/>
      <c r="V22" s="3" t="s">
        <v>99</v>
      </c>
      <c r="W22" s="0"/>
      <c r="Y22" s="4" t="n">
        <v>3</v>
      </c>
      <c r="Z22" s="4" t="n">
        <v>450000</v>
      </c>
    </row>
    <row r="23" customFormat="false" ht="13.8" hidden="false" customHeight="false" outlineLevel="0" collapsed="false">
      <c r="C23" s="0"/>
      <c r="D23" s="0"/>
      <c r="E23" s="0"/>
      <c r="H23" s="0"/>
      <c r="I23" s="0"/>
      <c r="J23" s="0"/>
      <c r="L23" s="0"/>
      <c r="M23" s="0"/>
      <c r="Q23" s="0"/>
      <c r="R23" s="0"/>
      <c r="S23" s="0"/>
      <c r="T23" s="0"/>
      <c r="U23" s="0"/>
      <c r="V23" s="3" t="s">
        <v>102</v>
      </c>
      <c r="W23" s="0"/>
      <c r="Y23" s="4" t="n">
        <v>20</v>
      </c>
      <c r="Z23" s="4" t="n">
        <v>95000</v>
      </c>
    </row>
    <row r="24" customFormat="false" ht="13.8" hidden="false" customHeight="false" outlineLevel="0" collapsed="false">
      <c r="C24" s="0"/>
      <c r="D24" s="0"/>
      <c r="E24" s="0"/>
      <c r="H24" s="0"/>
      <c r="I24" s="0"/>
      <c r="J24" s="0"/>
      <c r="L24" s="0"/>
      <c r="M24" s="0"/>
      <c r="Q24" s="0"/>
      <c r="R24" s="0"/>
      <c r="S24" s="0"/>
      <c r="T24" s="0"/>
      <c r="U24" s="0"/>
      <c r="V24" s="3" t="s">
        <v>105</v>
      </c>
      <c r="W24" s="0"/>
      <c r="Y24" s="4" t="n">
        <v>10</v>
      </c>
      <c r="Z24" s="4" t="n">
        <v>18000</v>
      </c>
      <c r="AA24" s="4" t="s">
        <v>38</v>
      </c>
      <c r="AB24" s="4" t="s">
        <v>31</v>
      </c>
    </row>
    <row r="25" customFormat="false" ht="13.8" hidden="false" customHeight="false" outlineLevel="0" collapsed="false">
      <c r="C25" s="0"/>
      <c r="D25" s="0"/>
      <c r="E25" s="0"/>
      <c r="H25" s="0"/>
      <c r="I25" s="0"/>
      <c r="J25" s="0"/>
      <c r="L25" s="0"/>
      <c r="M25" s="0"/>
      <c r="Q25" s="0"/>
      <c r="R25" s="0"/>
      <c r="S25" s="0"/>
      <c r="T25" s="0"/>
      <c r="U25" s="0"/>
      <c r="V25" s="3" t="s">
        <v>108</v>
      </c>
      <c r="W25" s="0"/>
      <c r="Y25" s="4" t="n">
        <v>40</v>
      </c>
      <c r="Z25" s="4" t="n">
        <v>12000</v>
      </c>
      <c r="AA25" s="4" t="s">
        <v>47</v>
      </c>
      <c r="AB25" s="4" t="s">
        <v>41</v>
      </c>
    </row>
    <row r="26" customFormat="false" ht="13.8" hidden="false" customHeight="false" outlineLevel="0" collapsed="false">
      <c r="C26" s="0"/>
      <c r="D26" s="0"/>
      <c r="E26" s="0"/>
      <c r="H26" s="0"/>
      <c r="I26" s="0"/>
      <c r="J26" s="0"/>
      <c r="L26" s="0"/>
      <c r="M26" s="0"/>
      <c r="Q26" s="0"/>
      <c r="R26" s="0"/>
      <c r="S26" s="0"/>
      <c r="T26" s="0"/>
      <c r="U26" s="0"/>
      <c r="V26" s="3" t="s">
        <v>95</v>
      </c>
      <c r="W26" s="4" t="s">
        <v>17</v>
      </c>
      <c r="Y26" s="4" t="n">
        <v>120</v>
      </c>
      <c r="Z26" s="4" t="n">
        <v>32000</v>
      </c>
      <c r="AA26" s="4" t="s">
        <v>19</v>
      </c>
      <c r="AB26" s="4" t="s">
        <v>49</v>
      </c>
    </row>
    <row r="27" customFormat="false" ht="13.8" hidden="false" customHeight="false" outlineLevel="0" collapsed="false">
      <c r="C27" s="0"/>
      <c r="D27" s="0"/>
      <c r="H27" s="0"/>
      <c r="I27" s="0"/>
      <c r="J27" s="0"/>
      <c r="L27" s="0"/>
      <c r="M27" s="0"/>
      <c r="Q27" s="0"/>
      <c r="R27" s="0"/>
      <c r="S27" s="0"/>
      <c r="T27" s="0"/>
      <c r="U27" s="0"/>
      <c r="V27" s="4" t="s">
        <v>112</v>
      </c>
      <c r="W27" s="0"/>
      <c r="Y27" s="4" t="n">
        <v>25</v>
      </c>
      <c r="Z27" s="4" t="n">
        <v>15000</v>
      </c>
      <c r="AA27" s="4" t="s">
        <v>29</v>
      </c>
      <c r="AB27" s="4" t="s">
        <v>51</v>
      </c>
    </row>
    <row r="28" customFormat="false" ht="13.8" hidden="false" customHeight="false" outlineLevel="0" collapsed="false">
      <c r="C28" s="0"/>
      <c r="D28" s="8" t="s">
        <v>138</v>
      </c>
      <c r="E28" s="8"/>
      <c r="H28" s="8" t="s">
        <v>139</v>
      </c>
      <c r="I28" s="8"/>
      <c r="J28" s="0"/>
      <c r="L28" s="9" t="s">
        <v>140</v>
      </c>
      <c r="M28" s="9"/>
      <c r="Q28" s="0"/>
      <c r="R28" s="0"/>
      <c r="S28" s="8" t="s">
        <v>88</v>
      </c>
      <c r="T28" s="8"/>
      <c r="U28" s="0"/>
      <c r="V28" s="4" t="s">
        <v>114</v>
      </c>
      <c r="W28" s="0"/>
      <c r="Y28" s="4" t="n">
        <v>60</v>
      </c>
      <c r="Z28" s="4" t="n">
        <v>25000</v>
      </c>
      <c r="AA28" s="4" t="s">
        <v>38</v>
      </c>
      <c r="AB28" s="4" t="s">
        <v>54</v>
      </c>
    </row>
    <row r="29" customFormat="false" ht="13.8" hidden="false" customHeight="false" outlineLevel="0" collapsed="false">
      <c r="C29" s="0"/>
      <c r="D29" s="9" t="s">
        <v>141</v>
      </c>
      <c r="E29" s="8" t="s">
        <v>142</v>
      </c>
      <c r="H29" s="8" t="s">
        <v>143</v>
      </c>
      <c r="I29" s="8" t="s">
        <v>144</v>
      </c>
      <c r="J29" s="0"/>
      <c r="L29" s="9" t="s">
        <v>141</v>
      </c>
      <c r="M29" s="9" t="s">
        <v>144</v>
      </c>
      <c r="Q29" s="0"/>
      <c r="R29" s="0"/>
      <c r="S29" s="8" t="s">
        <v>141</v>
      </c>
      <c r="T29" s="8" t="s">
        <v>142</v>
      </c>
      <c r="U29" s="0"/>
      <c r="V29" s="4" t="s">
        <v>115</v>
      </c>
      <c r="W29" s="0"/>
      <c r="Y29" s="4" t="n">
        <v>80</v>
      </c>
      <c r="Z29" s="4" t="n">
        <v>27000</v>
      </c>
      <c r="AA29" s="4" t="s">
        <v>38</v>
      </c>
    </row>
    <row r="30" customFormat="false" ht="13.8" hidden="false" customHeight="false" outlineLevel="0" collapsed="false">
      <c r="C30" s="0"/>
      <c r="D30" s="15" t="s">
        <v>119</v>
      </c>
      <c r="E30" s="16" t="s">
        <v>19</v>
      </c>
      <c r="H30" s="16" t="s">
        <v>127</v>
      </c>
      <c r="I30" s="16" t="s">
        <v>33</v>
      </c>
      <c r="J30" s="0"/>
      <c r="K30" s="1"/>
      <c r="L30" s="15" t="s">
        <v>121</v>
      </c>
      <c r="M30" s="15" t="s">
        <v>16</v>
      </c>
      <c r="Q30" s="0"/>
      <c r="R30" s="0"/>
      <c r="S30" s="12" t="s">
        <v>122</v>
      </c>
      <c r="T30" s="4" t="s">
        <v>18</v>
      </c>
      <c r="U30" s="0"/>
      <c r="V30" s="4" t="s">
        <v>102</v>
      </c>
      <c r="W30" s="4" t="s">
        <v>36</v>
      </c>
      <c r="Y30" s="4" t="n">
        <v>15</v>
      </c>
      <c r="Z30" s="4" t="n">
        <v>95000</v>
      </c>
      <c r="AA30" s="4" t="s">
        <v>19</v>
      </c>
    </row>
    <row r="31" customFormat="false" ht="13.8" hidden="false" customHeight="false" outlineLevel="0" collapsed="false">
      <c r="C31" s="0"/>
      <c r="D31" s="15" t="s">
        <v>123</v>
      </c>
      <c r="E31" s="16" t="s">
        <v>29</v>
      </c>
      <c r="H31" s="16" t="s">
        <v>120</v>
      </c>
      <c r="I31" s="16" t="s">
        <v>145</v>
      </c>
      <c r="J31" s="0"/>
      <c r="K31" s="1"/>
      <c r="L31" s="15" t="s">
        <v>125</v>
      </c>
      <c r="M31" s="15" t="s">
        <v>26</v>
      </c>
      <c r="N31" s="0"/>
      <c r="O31" s="0"/>
      <c r="Q31" s="0"/>
      <c r="R31" s="0"/>
      <c r="S31" s="12" t="s">
        <v>129</v>
      </c>
      <c r="T31" s="4" t="s">
        <v>28</v>
      </c>
      <c r="U31" s="0"/>
      <c r="V31" s="4" t="s">
        <v>99</v>
      </c>
      <c r="W31" s="4" t="s">
        <v>27</v>
      </c>
      <c r="Y31" s="4" t="n">
        <v>2</v>
      </c>
      <c r="Z31" s="4" t="n">
        <v>450000</v>
      </c>
      <c r="AA31" s="4" t="s">
        <v>29</v>
      </c>
    </row>
    <row r="32" customFormat="false" ht="13.8" hidden="false" customHeight="false" outlineLevel="0" collapsed="false">
      <c r="C32" s="0"/>
      <c r="D32" s="15" t="s">
        <v>126</v>
      </c>
      <c r="E32" s="16" t="s">
        <v>38</v>
      </c>
      <c r="H32" s="16" t="s">
        <v>124</v>
      </c>
      <c r="I32" s="16" t="s">
        <v>146</v>
      </c>
      <c r="J32" s="0"/>
      <c r="K32" s="1"/>
      <c r="L32" s="15" t="s">
        <v>128</v>
      </c>
      <c r="M32" s="15" t="s">
        <v>147</v>
      </c>
      <c r="N32" s="0"/>
      <c r="O32" s="0"/>
      <c r="S32" s="12" t="s">
        <v>133</v>
      </c>
      <c r="T32" s="4" t="s">
        <v>37</v>
      </c>
      <c r="W32" s="0"/>
    </row>
    <row r="33" customFormat="false" ht="13.8" hidden="false" customHeight="false" outlineLevel="0" collapsed="false">
      <c r="C33" s="0"/>
      <c r="D33" s="15" t="s">
        <v>130</v>
      </c>
      <c r="E33" s="16" t="s">
        <v>47</v>
      </c>
      <c r="H33" s="16" t="s">
        <v>131</v>
      </c>
      <c r="I33" s="16" t="s">
        <v>43</v>
      </c>
      <c r="J33" s="0"/>
      <c r="K33" s="1"/>
      <c r="L33" s="15" t="s">
        <v>132</v>
      </c>
      <c r="M33" s="15" t="s">
        <v>148</v>
      </c>
      <c r="N33" s="0"/>
      <c r="O33" s="0"/>
      <c r="S33" s="12" t="s">
        <v>137</v>
      </c>
      <c r="T33" s="4" t="s">
        <v>60</v>
      </c>
    </row>
    <row r="34" customFormat="false" ht="13.8" hidden="false" customHeight="false" outlineLevel="0" collapsed="false">
      <c r="E34" s="0"/>
      <c r="H34" s="16" t="s">
        <v>134</v>
      </c>
      <c r="I34" s="16" t="s">
        <v>56</v>
      </c>
      <c r="J34" s="0"/>
      <c r="K34" s="1"/>
      <c r="L34" s="15" t="s">
        <v>135</v>
      </c>
      <c r="M34" s="16" t="s">
        <v>149</v>
      </c>
      <c r="N34" s="0"/>
      <c r="O34" s="0"/>
    </row>
    <row r="35" customFormat="false" ht="13.8" hidden="false" customHeight="false" outlineLevel="0" collapsed="false">
      <c r="H35" s="16" t="s">
        <v>136</v>
      </c>
      <c r="I35" s="16" t="s">
        <v>68</v>
      </c>
      <c r="J35" s="0"/>
      <c r="N35" s="0"/>
      <c r="O35" s="0"/>
    </row>
    <row r="36" customFormat="false" ht="13.8" hidden="false" customHeight="false" outlineLevel="0" collapsed="false">
      <c r="H36" s="0"/>
      <c r="I36" s="0"/>
      <c r="N36" s="0"/>
      <c r="O36" s="0"/>
    </row>
    <row r="37" customFormat="false" ht="13.8" hidden="false" customHeight="false" outlineLevel="0" collapsed="false">
      <c r="N37" s="0"/>
      <c r="O37" s="0"/>
    </row>
  </sheetData>
  <mergeCells count="9">
    <mergeCell ref="B2:F2"/>
    <mergeCell ref="H2:J2"/>
    <mergeCell ref="L2:O2"/>
    <mergeCell ref="Q2:T2"/>
    <mergeCell ref="V2:Y2"/>
    <mergeCell ref="D28:E28"/>
    <mergeCell ref="H28:I28"/>
    <mergeCell ref="L28:M28"/>
    <mergeCell ref="S28:T2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2026-06-16T11:31:10Z</dcterms:created>
  <dc:creator>openpyxl</dc:creator>
  <dc:description/>
  <dc:language>es-CO</dc:language>
  <cp:lastModifiedBy/>
  <dcterms:modified xsi:type="dcterms:W3CDTF">2026-06-18T13:53:14Z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