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_data" sheetId="1" state="visible" r:id="rId2"/>
    <sheet name="Hoja0" sheetId="2" state="visible" r:id="rId3"/>
    <sheet name="Hoja1" sheetId="3" state="visible" r:id="rId4"/>
    <sheet name="Hoja2" sheetId="4" state="visible" r:id="rId5"/>
    <sheet name="Hoja3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<sst xmlns="http://schemas.openxmlformats.org/spreadsheetml/2006/main" count="463" uniqueCount="119">
  <si>
    <t xml:space="preserve">OrderDate</t>
  </si>
  <si>
    <t xml:space="preserve">CustomerName</t>
  </si>
  <si>
    <t xml:space="preserve">CustomerCity</t>
  </si>
  <si>
    <t xml:space="preserve">SalesRep</t>
  </si>
  <si>
    <t xml:space="preserve">Branch</t>
  </si>
  <si>
    <t xml:space="preserve">BranchCity</t>
  </si>
  <si>
    <t xml:space="preserve">ProductName</t>
  </si>
  <si>
    <t xml:space="preserve">Category</t>
  </si>
  <si>
    <t xml:space="preserve">Quantity</t>
  </si>
  <si>
    <t xml:space="preserve">UnitPrice</t>
  </si>
  <si>
    <t xml:space="preserve">PaymentMethod</t>
  </si>
  <si>
    <t xml:space="preserve">InvoiceNumber</t>
  </si>
  <si>
    <t xml:space="preserve">2026-05-01</t>
  </si>
  <si>
    <t xml:space="preserve">Constructora Andina SAS</t>
  </si>
  <si>
    <t xml:space="preserve">Bogotá</t>
  </si>
  <si>
    <t xml:space="preserve">Carlos Pérez</t>
  </si>
  <si>
    <t xml:space="preserve">Centro</t>
  </si>
  <si>
    <t xml:space="preserve">Cemento Gris 50kg</t>
  </si>
  <si>
    <t xml:space="preserve">Construcción</t>
  </si>
  <si>
    <t xml:space="preserve">Transferencia</t>
  </si>
  <si>
    <t xml:space="preserve">FAC-2001</t>
  </si>
  <si>
    <t xml:space="preserve">Varilla 3/8</t>
  </si>
  <si>
    <t xml:space="preserve">2026-05-02</t>
  </si>
  <si>
    <t xml:space="preserve">Ferretería El Tornillo</t>
  </si>
  <si>
    <t xml:space="preserve">Medellín</t>
  </si>
  <si>
    <t xml:space="preserve">Laura Gómez</t>
  </si>
  <si>
    <t xml:space="preserve">Norte</t>
  </si>
  <si>
    <t xml:space="preserve">Taladro Industrial</t>
  </si>
  <si>
    <t xml:space="preserve">Herramientas</t>
  </si>
  <si>
    <t xml:space="preserve">Tarjeta</t>
  </si>
  <si>
    <t xml:space="preserve">FAC-2002</t>
  </si>
  <si>
    <t xml:space="preserve">2026-05-03</t>
  </si>
  <si>
    <t xml:space="preserve">Inversiones Caribe SAS</t>
  </si>
  <si>
    <t xml:space="preserve">Barranquilla</t>
  </si>
  <si>
    <t xml:space="preserve">Andrés Ruiz</t>
  </si>
  <si>
    <t xml:space="preserve">Costa</t>
  </si>
  <si>
    <t xml:space="preserve">Pintura Blanca 5GL</t>
  </si>
  <si>
    <t xml:space="preserve">Pinturas</t>
  </si>
  <si>
    <t xml:space="preserve">Crédito</t>
  </si>
  <si>
    <t xml:space="preserve">FAC-2003</t>
  </si>
  <si>
    <t xml:space="preserve">Rodillo Profesional</t>
  </si>
  <si>
    <t xml:space="preserve">2026-05-04</t>
  </si>
  <si>
    <t xml:space="preserve">Metalúrgica del Norte</t>
  </si>
  <si>
    <t xml:space="preserve">Cali</t>
  </si>
  <si>
    <t xml:space="preserve">Diana Torres</t>
  </si>
  <si>
    <t xml:space="preserve">Occidente</t>
  </si>
  <si>
    <t xml:space="preserve">Disco de Corte</t>
  </si>
  <si>
    <t xml:space="preserve">Efectivo</t>
  </si>
  <si>
    <t xml:space="preserve">FAC-2004</t>
  </si>
  <si>
    <t xml:space="preserve">2026-05-05</t>
  </si>
  <si>
    <t xml:space="preserve">FAC-2005</t>
  </si>
  <si>
    <t xml:space="preserve">2026-05-06</t>
  </si>
  <si>
    <t xml:space="preserve">Broca SDS</t>
  </si>
  <si>
    <t xml:space="preserve">FAC-2006</t>
  </si>
  <si>
    <t xml:space="preserve">2026-05-07</t>
  </si>
  <si>
    <t xml:space="preserve">Obras y Vías SAS</t>
  </si>
  <si>
    <t xml:space="preserve">Bucaramanga</t>
  </si>
  <si>
    <t xml:space="preserve">Miguel Castro</t>
  </si>
  <si>
    <t xml:space="preserve">Oriente</t>
  </si>
  <si>
    <t xml:space="preserve">Arena Lavada</t>
  </si>
  <si>
    <t xml:space="preserve">Agregados</t>
  </si>
  <si>
    <t xml:space="preserve">FAC-2007</t>
  </si>
  <si>
    <t xml:space="preserve">Grava Triturada</t>
  </si>
  <si>
    <t xml:space="preserve">2026-05-08</t>
  </si>
  <si>
    <t xml:space="preserve">Constructora Pacífico</t>
  </si>
  <si>
    <t xml:space="preserve">FAC-2008</t>
  </si>
  <si>
    <t xml:space="preserve">2026-05-09</t>
  </si>
  <si>
    <t xml:space="preserve">Ferretería Central</t>
  </si>
  <si>
    <t xml:space="preserve">Cartagena</t>
  </si>
  <si>
    <t xml:space="preserve">FAC-2009</t>
  </si>
  <si>
    <t xml:space="preserve">factura</t>
  </si>
  <si>
    <t xml:space="preserve">Clientes</t>
  </si>
  <si>
    <t xml:space="preserve">Representantes</t>
  </si>
  <si>
    <t xml:space="preserve">productos_vendidos</t>
  </si>
  <si>
    <t xml:space="preserve">numero_de_factura</t>
  </si>
  <si>
    <t xml:space="preserve">id_clientes</t>
  </si>
  <si>
    <t xml:space="preserve">id_representante</t>
  </si>
  <si>
    <t xml:space="preserve">id_productos_vendidos</t>
  </si>
  <si>
    <t xml:space="preserve">total</t>
  </si>
  <si>
    <t xml:space="preserve">Id_clientes</t>
  </si>
  <si>
    <t xml:space="preserve">Nombre_del_cliente</t>
  </si>
  <si>
    <t xml:space="preserve">Ciudad_del_cliente</t>
  </si>
  <si>
    <t xml:space="preserve">id_representantes</t>
  </si>
  <si>
    <t xml:space="preserve">representante_de_ventas</t>
  </si>
  <si>
    <t xml:space="preserve">sucursal</t>
  </si>
  <si>
    <t xml:space="preserve">sucursal_ciudad</t>
  </si>
  <si>
    <t xml:space="preserve">id_producto</t>
  </si>
  <si>
    <t xml:space="preserve">nombre_del_producto</t>
  </si>
  <si>
    <t xml:space="preserve">categoría</t>
  </si>
  <si>
    <t xml:space="preserve">cantidad_pedida</t>
  </si>
  <si>
    <t xml:space="preserve">precio_unitario</t>
  </si>
  <si>
    <t xml:space="preserve">método_de_pago</t>
  </si>
  <si>
    <t xml:space="preserve">fecha_del_pedido</t>
  </si>
  <si>
    <t xml:space="preserve">A1</t>
  </si>
  <si>
    <t xml:space="preserve">B1</t>
  </si>
  <si>
    <t xml:space="preserve">C1</t>
  </si>
  <si>
    <t xml:space="preserve">C2</t>
  </si>
  <si>
    <t xml:space="preserve">A2</t>
  </si>
  <si>
    <t xml:space="preserve">B2</t>
  </si>
  <si>
    <t xml:space="preserve">C3</t>
  </si>
  <si>
    <t xml:space="preserve">A3</t>
  </si>
  <si>
    <t xml:space="preserve">B3</t>
  </si>
  <si>
    <t xml:space="preserve">C4</t>
  </si>
  <si>
    <t xml:space="preserve">A4</t>
  </si>
  <si>
    <t xml:space="preserve">B4</t>
  </si>
  <si>
    <t xml:space="preserve">C5</t>
  </si>
  <si>
    <t xml:space="preserve">A5</t>
  </si>
  <si>
    <t xml:space="preserve">B5</t>
  </si>
  <si>
    <t xml:space="preserve">C6</t>
  </si>
  <si>
    <t xml:space="preserve">A6</t>
  </si>
  <si>
    <t xml:space="preserve">B6</t>
  </si>
  <si>
    <t xml:space="preserve">C7</t>
  </si>
  <si>
    <t xml:space="preserve">A7</t>
  </si>
  <si>
    <t xml:space="preserve">B7</t>
  </si>
  <si>
    <t xml:space="preserve">C8</t>
  </si>
  <si>
    <t xml:space="preserve">C9</t>
  </si>
  <si>
    <t xml:space="preserve">C10</t>
  </si>
  <si>
    <t xml:space="preserve">C11</t>
  </si>
  <si>
    <t xml:space="preserve">C12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</si>
</sst>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2A6099"/>
      </left>
      <right style="hair">
        <color rgb="FF2A6099"/>
      </right>
      <top style="hair">
        <color rgb="FF2A6099"/>
      </top>
      <bottom style="hair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2" activeCellId="0" sqref="L2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26.84"/>
    <col collapsed="false" customWidth="true" hidden="false" outlineLevel="0" max="4" min="3" style="0" width="19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19.5"/>
    <col collapsed="false" customWidth="true" hidden="false" outlineLevel="0" max="8" min="8" style="0" width="15.66"/>
    <col collapsed="false" customWidth="true" hidden="false" outlineLevel="0" max="10" min="10" style="0" width="16.33"/>
    <col collapsed="false" customWidth="true" hidden="false" outlineLevel="0" max="11" min="11" style="0" width="28.66"/>
    <col collapsed="false" customWidth="true" hidden="false" outlineLevel="0" max="12" min="12" style="0" width="13.6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14</v>
      </c>
      <c r="G2" s="0" t="s">
        <v>17</v>
      </c>
      <c r="H2" s="0" t="s">
        <v>18</v>
      </c>
      <c r="I2" s="0" t="n">
        <v>100</v>
      </c>
      <c r="J2" s="0" t="n">
        <v>32000</v>
      </c>
      <c r="K2" s="0" t="s">
        <v>19</v>
      </c>
      <c r="L2" s="0" t="s">
        <v>20</v>
      </c>
    </row>
    <row r="3" customFormat="false" ht="13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14</v>
      </c>
      <c r="G3" s="0" t="s">
        <v>21</v>
      </c>
      <c r="H3" s="0" t="s">
        <v>18</v>
      </c>
      <c r="I3" s="0" t="n">
        <v>50</v>
      </c>
      <c r="J3" s="0" t="n">
        <v>28000</v>
      </c>
      <c r="K3" s="0" t="s">
        <v>19</v>
      </c>
      <c r="L3" s="0" t="s">
        <v>20</v>
      </c>
    </row>
    <row r="4" customFormat="false" ht="13.8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24</v>
      </c>
      <c r="G4" s="0" t="s">
        <v>27</v>
      </c>
      <c r="H4" s="0" t="s">
        <v>28</v>
      </c>
      <c r="I4" s="0" t="n">
        <v>3</v>
      </c>
      <c r="J4" s="0" t="n">
        <v>450000</v>
      </c>
      <c r="K4" s="0" t="s">
        <v>29</v>
      </c>
      <c r="L4" s="0" t="s">
        <v>30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33</v>
      </c>
      <c r="G5" s="0" t="s">
        <v>36</v>
      </c>
      <c r="H5" s="0" t="s">
        <v>37</v>
      </c>
      <c r="I5" s="0" t="n">
        <v>20</v>
      </c>
      <c r="J5" s="0" t="n">
        <v>95000</v>
      </c>
      <c r="K5" s="0" t="s">
        <v>38</v>
      </c>
      <c r="L5" s="0" t="s">
        <v>39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33</v>
      </c>
      <c r="G6" s="0" t="s">
        <v>40</v>
      </c>
      <c r="H6" s="0" t="s">
        <v>37</v>
      </c>
      <c r="I6" s="0" t="n">
        <v>10</v>
      </c>
      <c r="J6" s="0" t="n">
        <v>18000</v>
      </c>
      <c r="K6" s="0" t="s">
        <v>38</v>
      </c>
      <c r="L6" s="0" t="s">
        <v>39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43</v>
      </c>
      <c r="D7" s="0" t="s">
        <v>44</v>
      </c>
      <c r="E7" s="0" t="s">
        <v>45</v>
      </c>
      <c r="F7" s="0" t="s">
        <v>43</v>
      </c>
      <c r="G7" s="0" t="s">
        <v>46</v>
      </c>
      <c r="H7" s="0" t="s">
        <v>28</v>
      </c>
      <c r="I7" s="0" t="n">
        <v>40</v>
      </c>
      <c r="J7" s="0" t="n">
        <v>12000</v>
      </c>
      <c r="K7" s="0" t="s">
        <v>47</v>
      </c>
      <c r="L7" s="0" t="s">
        <v>48</v>
      </c>
    </row>
    <row r="8" customFormat="false" ht="15" hidden="false" customHeight="false" outlineLevel="0" collapsed="false">
      <c r="A8" s="0" t="s">
        <v>49</v>
      </c>
      <c r="B8" s="0" t="s">
        <v>13</v>
      </c>
      <c r="C8" s="0" t="s">
        <v>14</v>
      </c>
      <c r="D8" s="0" t="s">
        <v>15</v>
      </c>
      <c r="E8" s="0" t="s">
        <v>16</v>
      </c>
      <c r="F8" s="0" t="s">
        <v>14</v>
      </c>
      <c r="G8" s="0" t="s">
        <v>17</v>
      </c>
      <c r="H8" s="0" t="s">
        <v>18</v>
      </c>
      <c r="I8" s="0" t="n">
        <v>120</v>
      </c>
      <c r="J8" s="0" t="n">
        <v>32000</v>
      </c>
      <c r="K8" s="0" t="s">
        <v>19</v>
      </c>
      <c r="L8" s="0" t="s">
        <v>50</v>
      </c>
    </row>
    <row r="9" customFormat="false" ht="15" hidden="false" customHeight="false" outlineLevel="0" collapsed="false">
      <c r="A9" s="0" t="s">
        <v>51</v>
      </c>
      <c r="B9" s="0" t="s">
        <v>23</v>
      </c>
      <c r="C9" s="0" t="s">
        <v>24</v>
      </c>
      <c r="D9" s="0" t="s">
        <v>25</v>
      </c>
      <c r="E9" s="0" t="s">
        <v>26</v>
      </c>
      <c r="F9" s="0" t="s">
        <v>24</v>
      </c>
      <c r="G9" s="0" t="s">
        <v>52</v>
      </c>
      <c r="H9" s="0" t="s">
        <v>28</v>
      </c>
      <c r="I9" s="0" t="n">
        <v>25</v>
      </c>
      <c r="J9" s="0" t="n">
        <v>15000</v>
      </c>
      <c r="K9" s="0" t="s">
        <v>29</v>
      </c>
      <c r="L9" s="0" t="s">
        <v>53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56</v>
      </c>
      <c r="G10" s="0" t="s">
        <v>59</v>
      </c>
      <c r="H10" s="0" t="s">
        <v>60</v>
      </c>
      <c r="I10" s="0" t="n">
        <v>60</v>
      </c>
      <c r="J10" s="0" t="n">
        <v>25000</v>
      </c>
      <c r="K10" s="0" t="s">
        <v>38</v>
      </c>
      <c r="L10" s="0" t="s">
        <v>61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56</v>
      </c>
      <c r="G11" s="0" t="s">
        <v>62</v>
      </c>
      <c r="H11" s="0" t="s">
        <v>60</v>
      </c>
      <c r="I11" s="0" t="n">
        <v>80</v>
      </c>
      <c r="J11" s="0" t="n">
        <v>27000</v>
      </c>
      <c r="K11" s="0" t="s">
        <v>38</v>
      </c>
      <c r="L11" s="0" t="s">
        <v>61</v>
      </c>
    </row>
    <row r="12" customFormat="false" ht="15" hidden="false" customHeight="false" outlineLevel="0" collapsed="false">
      <c r="A12" s="0" t="s">
        <v>63</v>
      </c>
      <c r="B12" s="0" t="s">
        <v>64</v>
      </c>
      <c r="C12" s="0" t="s">
        <v>43</v>
      </c>
      <c r="D12" s="0" t="s">
        <v>44</v>
      </c>
      <c r="E12" s="0" t="s">
        <v>45</v>
      </c>
      <c r="F12" s="0" t="s">
        <v>43</v>
      </c>
      <c r="G12" s="0" t="s">
        <v>36</v>
      </c>
      <c r="H12" s="0" t="s">
        <v>37</v>
      </c>
      <c r="I12" s="0" t="n">
        <v>15</v>
      </c>
      <c r="J12" s="0" t="n">
        <v>95000</v>
      </c>
      <c r="K12" s="0" t="s">
        <v>19</v>
      </c>
      <c r="L12" s="0" t="s">
        <v>65</v>
      </c>
    </row>
    <row r="13" customFormat="false" ht="15" hidden="false" customHeight="false" outlineLevel="0" collapsed="false">
      <c r="A13" s="0" t="s">
        <v>66</v>
      </c>
      <c r="B13" s="0" t="s">
        <v>67</v>
      </c>
      <c r="C13" s="0" t="s">
        <v>68</v>
      </c>
      <c r="D13" s="0" t="s">
        <v>34</v>
      </c>
      <c r="E13" s="0" t="s">
        <v>35</v>
      </c>
      <c r="F13" s="0" t="s">
        <v>33</v>
      </c>
      <c r="G13" s="0" t="s">
        <v>27</v>
      </c>
      <c r="H13" s="0" t="s">
        <v>28</v>
      </c>
      <c r="I13" s="0" t="n">
        <v>2</v>
      </c>
      <c r="J13" s="0" t="n">
        <v>450000</v>
      </c>
      <c r="K13" s="0" t="s">
        <v>29</v>
      </c>
      <c r="L13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W15"/>
  <sheetViews>
    <sheetView showFormulas="false" showGridLines="true" showRowColHeaders="true" showZeros="true" rightToLeft="false" tabSelected="true" showOutlineSymbols="true" defaultGridColor="true" view="normal" topLeftCell="M1" colorId="64" zoomScale="90" zoomScaleNormal="90" zoomScalePageLayoutView="100" workbookViewId="0">
      <selection pane="topLeft" activeCell="S28" activeCellId="0" sqref="S28"/>
    </sheetView>
  </sheetViews>
  <sheetFormatPr defaultColWidth="9.14453125" defaultRowHeight="13.8" zeroHeight="false" outlineLevelRow="0" outlineLevelCol="0"/>
  <cols>
    <col collapsed="false" customWidth="true" hidden="false" outlineLevel="0" max="2" min="2" style="0" width="16.73"/>
    <col collapsed="false" customWidth="true" hidden="false" outlineLevel="0" max="3" min="3" style="0" width="9.87"/>
    <col collapsed="false" customWidth="true" hidden="false" outlineLevel="0" max="4" min="4" style="0" width="14.77"/>
    <col collapsed="false" customWidth="true" hidden="false" outlineLevel="0" max="5" min="5" style="0" width="19.55"/>
    <col collapsed="false" customWidth="true" hidden="false" outlineLevel="0" max="8" min="8" style="0" width="15.62"/>
    <col collapsed="false" customWidth="true" hidden="false" outlineLevel="0" max="9" min="9" style="0" width="21.51"/>
    <col collapsed="false" customWidth="true" hidden="false" outlineLevel="0" max="10" min="10" style="0" width="16.36"/>
    <col collapsed="false" customWidth="true" hidden="false" outlineLevel="0" max="12" min="12" style="0" width="15.62"/>
    <col collapsed="false" customWidth="true" hidden="false" outlineLevel="0" max="13" min="13" style="0" width="21.51"/>
    <col collapsed="false" customWidth="true" hidden="false" outlineLevel="0" max="14" min="14" style="0" width="21.02"/>
    <col collapsed="false" customWidth="true" hidden="false" outlineLevel="0" max="15" min="15" style="0" width="16.36"/>
    <col collapsed="false" customWidth="true" hidden="false" outlineLevel="0" max="17" min="17" style="0" width="10.6"/>
    <col collapsed="false" customWidth="true" hidden="false" outlineLevel="0" max="18" min="18" style="0" width="18.57"/>
    <col collapsed="false" customWidth="true" hidden="false" outlineLevel="0" max="19" min="19" style="0" width="12.2"/>
    <col collapsed="false" customWidth="true" hidden="false" outlineLevel="0" max="20" min="20" style="0" width="14.4"/>
    <col collapsed="false" customWidth="true" hidden="false" outlineLevel="0" max="21" min="21" style="0" width="13.17"/>
    <col collapsed="false" customWidth="true" hidden="false" outlineLevel="0" max="22" min="22" style="0" width="15.01"/>
    <col collapsed="false" customWidth="true" hidden="false" outlineLevel="0" max="23" min="23" style="0" width="15.26"/>
  </cols>
  <sheetData>
    <row r="1" customFormat="false" ht="12.8" hidden="false" customHeight="false" outlineLevel="0" collapsed="false"/>
    <row r="2" customFormat="false" ht="13.8" hidden="false" customHeight="false" outlineLevel="0" collapsed="false">
      <c r="B2" s="1" t="s">
        <v>70</v>
      </c>
      <c r="C2" s="1"/>
      <c r="D2" s="1"/>
      <c r="E2" s="1"/>
      <c r="F2" s="1"/>
      <c r="H2" s="1" t="s">
        <v>71</v>
      </c>
      <c r="I2" s="1"/>
      <c r="J2" s="1"/>
      <c r="L2" s="1" t="s">
        <v>72</v>
      </c>
      <c r="M2" s="1"/>
      <c r="N2" s="1"/>
      <c r="O2" s="1"/>
      <c r="Q2" s="1" t="s">
        <v>73</v>
      </c>
      <c r="R2" s="1"/>
      <c r="S2" s="1"/>
      <c r="T2" s="1"/>
      <c r="U2" s="1"/>
      <c r="V2" s="1"/>
      <c r="W2" s="1"/>
    </row>
    <row r="3" customFormat="false" ht="13.8" hidden="false" customHeight="false" outlineLevel="0" collapsed="false"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  <c r="H3" s="1" t="s">
        <v>79</v>
      </c>
      <c r="I3" s="1" t="s">
        <v>80</v>
      </c>
      <c r="J3" s="1" t="s">
        <v>81</v>
      </c>
      <c r="L3" s="1" t="s">
        <v>82</v>
      </c>
      <c r="M3" s="1" t="s">
        <v>83</v>
      </c>
      <c r="N3" s="1" t="s">
        <v>84</v>
      </c>
      <c r="O3" s="1" t="s">
        <v>85</v>
      </c>
      <c r="Q3" s="1" t="s">
        <v>86</v>
      </c>
      <c r="R3" s="1" t="s">
        <v>87</v>
      </c>
      <c r="S3" s="1" t="s">
        <v>88</v>
      </c>
      <c r="T3" s="1" t="s">
        <v>89</v>
      </c>
      <c r="U3" s="1" t="s">
        <v>90</v>
      </c>
      <c r="V3" s="1" t="s">
        <v>91</v>
      </c>
      <c r="W3" s="1" t="s">
        <v>92</v>
      </c>
    </row>
    <row r="4" customFormat="false" ht="13.8" hidden="false" customHeight="false" outlineLevel="0" collapsed="false">
      <c r="B4" s="2" t="s">
        <v>20</v>
      </c>
      <c r="C4" s="2" t="s">
        <v>93</v>
      </c>
      <c r="D4" s="2" t="s">
        <v>94</v>
      </c>
      <c r="E4" s="2" t="s">
        <v>95</v>
      </c>
      <c r="F4" s="2" t="n">
        <f aca="false">T4*U4</f>
        <v>3200000</v>
      </c>
      <c r="H4" s="2" t="s">
        <v>93</v>
      </c>
      <c r="I4" s="3" t="s">
        <v>13</v>
      </c>
      <c r="J4" s="3" t="s">
        <v>14</v>
      </c>
      <c r="L4" s="2" t="s">
        <v>94</v>
      </c>
      <c r="M4" s="3" t="s">
        <v>15</v>
      </c>
      <c r="N4" s="3" t="s">
        <v>16</v>
      </c>
      <c r="O4" s="3" t="s">
        <v>14</v>
      </c>
      <c r="Q4" s="2" t="s">
        <v>95</v>
      </c>
      <c r="R4" s="3" t="s">
        <v>17</v>
      </c>
      <c r="S4" s="3" t="s">
        <v>18</v>
      </c>
      <c r="T4" s="3" t="n">
        <v>100</v>
      </c>
      <c r="U4" s="3" t="n">
        <v>32000</v>
      </c>
      <c r="V4" s="3" t="s">
        <v>19</v>
      </c>
      <c r="W4" s="3" t="s">
        <v>12</v>
      </c>
    </row>
    <row r="5" customFormat="false" ht="13.8" hidden="false" customHeight="false" outlineLevel="0" collapsed="false">
      <c r="B5" s="2" t="s">
        <v>20</v>
      </c>
      <c r="C5" s="2" t="s">
        <v>93</v>
      </c>
      <c r="D5" s="2" t="s">
        <v>94</v>
      </c>
      <c r="E5" s="2" t="s">
        <v>96</v>
      </c>
      <c r="F5" s="2" t="n">
        <f aca="false">T5*U5</f>
        <v>1400000</v>
      </c>
      <c r="H5" s="2" t="s">
        <v>97</v>
      </c>
      <c r="I5" s="3" t="s">
        <v>23</v>
      </c>
      <c r="J5" s="3" t="s">
        <v>24</v>
      </c>
      <c r="L5" s="2" t="s">
        <v>98</v>
      </c>
      <c r="M5" s="3" t="s">
        <v>25</v>
      </c>
      <c r="N5" s="3" t="s">
        <v>26</v>
      </c>
      <c r="O5" s="3" t="s">
        <v>24</v>
      </c>
      <c r="Q5" s="2" t="s">
        <v>96</v>
      </c>
      <c r="R5" s="3" t="s">
        <v>21</v>
      </c>
      <c r="S5" s="3" t="s">
        <v>18</v>
      </c>
      <c r="T5" s="3" t="n">
        <v>50</v>
      </c>
      <c r="U5" s="3" t="n">
        <v>28000</v>
      </c>
      <c r="V5" s="3" t="s">
        <v>19</v>
      </c>
      <c r="W5" s="3" t="s">
        <v>12</v>
      </c>
    </row>
    <row r="6" customFormat="false" ht="13.8" hidden="false" customHeight="false" outlineLevel="0" collapsed="false">
      <c r="B6" s="2" t="s">
        <v>30</v>
      </c>
      <c r="C6" s="2" t="s">
        <v>97</v>
      </c>
      <c r="D6" s="2" t="s">
        <v>98</v>
      </c>
      <c r="E6" s="2" t="s">
        <v>99</v>
      </c>
      <c r="F6" s="2" t="n">
        <f aca="false">T6*U6</f>
        <v>1350000</v>
      </c>
      <c r="H6" s="3" t="s">
        <v>100</v>
      </c>
      <c r="I6" s="3" t="s">
        <v>32</v>
      </c>
      <c r="J6" s="3" t="s">
        <v>33</v>
      </c>
      <c r="L6" s="2" t="s">
        <v>101</v>
      </c>
      <c r="M6" s="3" t="s">
        <v>34</v>
      </c>
      <c r="N6" s="3" t="s">
        <v>35</v>
      </c>
      <c r="O6" s="3" t="s">
        <v>33</v>
      </c>
      <c r="Q6" s="2" t="s">
        <v>99</v>
      </c>
      <c r="R6" s="3" t="s">
        <v>27</v>
      </c>
      <c r="S6" s="3" t="s">
        <v>28</v>
      </c>
      <c r="T6" s="3" t="n">
        <v>3</v>
      </c>
      <c r="U6" s="3" t="n">
        <v>450000</v>
      </c>
      <c r="V6" s="3" t="s">
        <v>29</v>
      </c>
      <c r="W6" s="3" t="s">
        <v>22</v>
      </c>
    </row>
    <row r="7" customFormat="false" ht="13.8" hidden="false" customHeight="false" outlineLevel="0" collapsed="false">
      <c r="B7" s="2" t="s">
        <v>39</v>
      </c>
      <c r="C7" s="2" t="s">
        <v>100</v>
      </c>
      <c r="D7" s="2" t="s">
        <v>101</v>
      </c>
      <c r="E7" s="2" t="s">
        <v>102</v>
      </c>
      <c r="F7" s="2" t="n">
        <f aca="false">T7*U7</f>
        <v>1900000</v>
      </c>
      <c r="H7" s="3" t="s">
        <v>103</v>
      </c>
      <c r="I7" s="3" t="s">
        <v>42</v>
      </c>
      <c r="J7" s="3" t="s">
        <v>43</v>
      </c>
      <c r="L7" s="3" t="s">
        <v>104</v>
      </c>
      <c r="M7" s="3" t="s">
        <v>44</v>
      </c>
      <c r="N7" s="3" t="s">
        <v>45</v>
      </c>
      <c r="O7" s="3" t="s">
        <v>43</v>
      </c>
      <c r="Q7" s="2" t="s">
        <v>102</v>
      </c>
      <c r="R7" s="3" t="s">
        <v>36</v>
      </c>
      <c r="S7" s="3" t="s">
        <v>37</v>
      </c>
      <c r="T7" s="3" t="n">
        <v>20</v>
      </c>
      <c r="U7" s="3" t="n">
        <v>95000</v>
      </c>
      <c r="V7" s="3" t="s">
        <v>38</v>
      </c>
      <c r="W7" s="3" t="s">
        <v>31</v>
      </c>
    </row>
    <row r="8" customFormat="false" ht="13.8" hidden="false" customHeight="false" outlineLevel="0" collapsed="false">
      <c r="B8" s="2" t="s">
        <v>39</v>
      </c>
      <c r="C8" s="2" t="s">
        <v>100</v>
      </c>
      <c r="D8" s="2" t="s">
        <v>101</v>
      </c>
      <c r="E8" s="2" t="s">
        <v>105</v>
      </c>
      <c r="F8" s="2" t="n">
        <f aca="false">T8*U8</f>
        <v>180000</v>
      </c>
      <c r="H8" s="3" t="s">
        <v>106</v>
      </c>
      <c r="I8" s="3" t="s">
        <v>55</v>
      </c>
      <c r="J8" s="3" t="s">
        <v>56</v>
      </c>
      <c r="L8" s="3" t="s">
        <v>107</v>
      </c>
      <c r="M8" s="3" t="s">
        <v>15</v>
      </c>
      <c r="N8" s="3" t="s">
        <v>16</v>
      </c>
      <c r="O8" s="3" t="s">
        <v>14</v>
      </c>
      <c r="Q8" s="2" t="s">
        <v>105</v>
      </c>
      <c r="R8" s="3" t="s">
        <v>40</v>
      </c>
      <c r="S8" s="3" t="s">
        <v>37</v>
      </c>
      <c r="T8" s="3" t="n">
        <v>10</v>
      </c>
      <c r="U8" s="3" t="n">
        <v>18000</v>
      </c>
      <c r="V8" s="3" t="s">
        <v>38</v>
      </c>
      <c r="W8" s="3" t="s">
        <v>31</v>
      </c>
    </row>
    <row r="9" customFormat="false" ht="13.8" hidden="false" customHeight="false" outlineLevel="0" collapsed="false">
      <c r="B9" s="2" t="s">
        <v>48</v>
      </c>
      <c r="C9" s="2" t="s">
        <v>103</v>
      </c>
      <c r="D9" s="2" t="s">
        <v>104</v>
      </c>
      <c r="E9" s="2" t="s">
        <v>108</v>
      </c>
      <c r="F9" s="2" t="n">
        <f aca="false">T9*U9</f>
        <v>480000</v>
      </c>
      <c r="H9" s="3" t="s">
        <v>109</v>
      </c>
      <c r="I9" s="3" t="s">
        <v>64</v>
      </c>
      <c r="J9" s="3" t="s">
        <v>43</v>
      </c>
      <c r="L9" s="3" t="s">
        <v>110</v>
      </c>
      <c r="M9" s="3" t="s">
        <v>25</v>
      </c>
      <c r="N9" s="3" t="s">
        <v>26</v>
      </c>
      <c r="O9" s="3" t="s">
        <v>24</v>
      </c>
      <c r="Q9" s="2" t="s">
        <v>108</v>
      </c>
      <c r="R9" s="3" t="s">
        <v>46</v>
      </c>
      <c r="S9" s="3" t="s">
        <v>28</v>
      </c>
      <c r="T9" s="3" t="n">
        <v>40</v>
      </c>
      <c r="U9" s="3" t="n">
        <v>12000</v>
      </c>
      <c r="V9" s="3" t="s">
        <v>47</v>
      </c>
      <c r="W9" s="3" t="s">
        <v>41</v>
      </c>
    </row>
    <row r="10" customFormat="false" ht="13.8" hidden="false" customHeight="false" outlineLevel="0" collapsed="false">
      <c r="B10" s="2" t="s">
        <v>50</v>
      </c>
      <c r="C10" s="2" t="s">
        <v>106</v>
      </c>
      <c r="D10" s="2" t="s">
        <v>107</v>
      </c>
      <c r="E10" s="2" t="s">
        <v>111</v>
      </c>
      <c r="F10" s="2" t="n">
        <f aca="false">T10*U10</f>
        <v>3840000</v>
      </c>
      <c r="H10" s="3" t="s">
        <v>112</v>
      </c>
      <c r="I10" s="3" t="s">
        <v>67</v>
      </c>
      <c r="J10" s="3" t="s">
        <v>68</v>
      </c>
      <c r="L10" s="3" t="s">
        <v>113</v>
      </c>
      <c r="M10" s="3" t="s">
        <v>57</v>
      </c>
      <c r="N10" s="3" t="s">
        <v>58</v>
      </c>
      <c r="O10" s="3" t="s">
        <v>56</v>
      </c>
      <c r="Q10" s="2" t="s">
        <v>95</v>
      </c>
      <c r="R10" s="3" t="s">
        <v>17</v>
      </c>
      <c r="S10" s="3" t="s">
        <v>18</v>
      </c>
      <c r="T10" s="3" t="n">
        <v>120</v>
      </c>
      <c r="U10" s="3" t="n">
        <v>32000</v>
      </c>
      <c r="V10" s="3" t="s">
        <v>19</v>
      </c>
      <c r="W10" s="3" t="s">
        <v>49</v>
      </c>
    </row>
    <row r="11" customFormat="false" ht="13.8" hidden="false" customHeight="false" outlineLevel="0" collapsed="false">
      <c r="B11" s="2" t="s">
        <v>53</v>
      </c>
      <c r="C11" s="2" t="s">
        <v>109</v>
      </c>
      <c r="D11" s="2" t="s">
        <v>110</v>
      </c>
      <c r="E11" s="2" t="s">
        <v>114</v>
      </c>
      <c r="F11" s="2" t="n">
        <f aca="false">T11*U11</f>
        <v>375000</v>
      </c>
      <c r="Q11" s="3" t="s">
        <v>111</v>
      </c>
      <c r="R11" s="3" t="s">
        <v>52</v>
      </c>
      <c r="S11" s="3" t="s">
        <v>28</v>
      </c>
      <c r="T11" s="3" t="n">
        <v>25</v>
      </c>
      <c r="U11" s="3" t="n">
        <v>15000</v>
      </c>
      <c r="V11" s="3" t="s">
        <v>29</v>
      </c>
      <c r="W11" s="3" t="s">
        <v>51</v>
      </c>
    </row>
    <row r="12" customFormat="false" ht="13.8" hidden="false" customHeight="false" outlineLevel="0" collapsed="false">
      <c r="B12" s="2" t="s">
        <v>61</v>
      </c>
      <c r="C12" s="2" t="s">
        <v>106</v>
      </c>
      <c r="D12" s="2" t="s">
        <v>113</v>
      </c>
      <c r="E12" s="2" t="s">
        <v>115</v>
      </c>
      <c r="F12" s="2" t="n">
        <f aca="false">T12*U12</f>
        <v>1500000</v>
      </c>
      <c r="Q12" s="3" t="s">
        <v>114</v>
      </c>
      <c r="R12" s="3" t="s">
        <v>59</v>
      </c>
      <c r="S12" s="3" t="s">
        <v>60</v>
      </c>
      <c r="T12" s="3" t="n">
        <v>60</v>
      </c>
      <c r="U12" s="3" t="n">
        <v>25000</v>
      </c>
      <c r="V12" s="3" t="s">
        <v>38</v>
      </c>
      <c r="W12" s="3" t="s">
        <v>54</v>
      </c>
    </row>
    <row r="13" customFormat="false" ht="13.8" hidden="false" customHeight="false" outlineLevel="0" collapsed="false">
      <c r="B13" s="2" t="s">
        <v>61</v>
      </c>
      <c r="C13" s="2" t="s">
        <v>106</v>
      </c>
      <c r="D13" s="2" t="s">
        <v>113</v>
      </c>
      <c r="E13" s="2" t="s">
        <v>116</v>
      </c>
      <c r="F13" s="2" t="n">
        <f aca="false">T13*U13</f>
        <v>2160000</v>
      </c>
      <c r="Q13" s="3" t="s">
        <v>115</v>
      </c>
      <c r="R13" s="3" t="s">
        <v>62</v>
      </c>
      <c r="S13" s="3" t="s">
        <v>60</v>
      </c>
      <c r="T13" s="3" t="n">
        <v>80</v>
      </c>
      <c r="U13" s="3" t="n">
        <v>27000</v>
      </c>
      <c r="V13" s="3" t="s">
        <v>38</v>
      </c>
      <c r="W13" s="3" t="s">
        <v>54</v>
      </c>
    </row>
    <row r="14" customFormat="false" ht="13.8" hidden="false" customHeight="false" outlineLevel="0" collapsed="false">
      <c r="B14" s="2" t="s">
        <v>65</v>
      </c>
      <c r="C14" s="2" t="s">
        <v>109</v>
      </c>
      <c r="D14" s="2" t="s">
        <v>104</v>
      </c>
      <c r="E14" s="2" t="s">
        <v>102</v>
      </c>
      <c r="F14" s="2" t="n">
        <f aca="false">T14*U14</f>
        <v>1425000</v>
      </c>
      <c r="Q14" s="3" t="s">
        <v>102</v>
      </c>
      <c r="R14" s="3" t="s">
        <v>36</v>
      </c>
      <c r="S14" s="3" t="s">
        <v>37</v>
      </c>
      <c r="T14" s="3" t="n">
        <v>15</v>
      </c>
      <c r="U14" s="3" t="n">
        <v>95000</v>
      </c>
      <c r="V14" s="3" t="s">
        <v>19</v>
      </c>
      <c r="W14" s="3" t="s">
        <v>63</v>
      </c>
    </row>
    <row r="15" customFormat="false" ht="13.8" hidden="false" customHeight="false" outlineLevel="0" collapsed="false">
      <c r="B15" s="2" t="s">
        <v>69</v>
      </c>
      <c r="C15" s="2" t="s">
        <v>112</v>
      </c>
      <c r="D15" s="2" t="s">
        <v>101</v>
      </c>
      <c r="E15" s="2" t="s">
        <v>99</v>
      </c>
      <c r="F15" s="2" t="n">
        <f aca="false">T15*U15</f>
        <v>900000</v>
      </c>
      <c r="Q15" s="3" t="s">
        <v>99</v>
      </c>
      <c r="R15" s="3" t="s">
        <v>27</v>
      </c>
      <c r="S15" s="3" t="s">
        <v>28</v>
      </c>
      <c r="T15" s="3" t="n">
        <v>2</v>
      </c>
      <c r="U15" s="3" t="n">
        <v>450000</v>
      </c>
      <c r="V15" s="3" t="s">
        <v>29</v>
      </c>
      <c r="W15" s="3" t="s">
        <v>66</v>
      </c>
    </row>
  </sheetData>
  <mergeCells count="4">
    <mergeCell ref="B2:F2"/>
    <mergeCell ref="H2:J2"/>
    <mergeCell ref="L2:O2"/>
    <mergeCell ref="Q2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10.66"/>
    <col collapsed="false" customWidth="true" hidden="false" outlineLevel="0" max="3" min="3" style="0" width="21.02"/>
    <col collapsed="false" customWidth="true" hidden="false" outlineLevel="0" max="4" min="4" style="0" width="16.36"/>
  </cols>
  <sheetData>
    <row r="2" customFormat="false" ht="13.8" hidden="false" customHeight="false" outlineLevel="0" collapsed="false">
      <c r="B2" s="1" t="s">
        <v>71</v>
      </c>
      <c r="C2" s="1"/>
      <c r="D2" s="1"/>
    </row>
    <row r="3" customFormat="false" ht="13.8" hidden="false" customHeight="false" outlineLevel="0" collapsed="false">
      <c r="B3" s="1" t="s">
        <v>79</v>
      </c>
      <c r="C3" s="1" t="s">
        <v>80</v>
      </c>
      <c r="D3" s="1" t="s">
        <v>81</v>
      </c>
    </row>
    <row r="4" customFormat="false" ht="13.8" hidden="false" customHeight="false" outlineLevel="0" collapsed="false">
      <c r="B4" s="2" t="s">
        <v>93</v>
      </c>
      <c r="C4" s="3" t="s">
        <v>13</v>
      </c>
      <c r="D4" s="3" t="s">
        <v>14</v>
      </c>
    </row>
    <row r="5" customFormat="false" ht="13.8" hidden="false" customHeight="false" outlineLevel="0" collapsed="false">
      <c r="B5" s="2" t="s">
        <v>97</v>
      </c>
      <c r="C5" s="3" t="s">
        <v>23</v>
      </c>
      <c r="D5" s="3" t="s">
        <v>24</v>
      </c>
    </row>
    <row r="6" customFormat="false" ht="13.8" hidden="false" customHeight="false" outlineLevel="0" collapsed="false">
      <c r="B6" s="3" t="s">
        <v>100</v>
      </c>
      <c r="C6" s="3" t="s">
        <v>32</v>
      </c>
      <c r="D6" s="3" t="s">
        <v>33</v>
      </c>
    </row>
    <row r="7" customFormat="false" ht="13.8" hidden="false" customHeight="false" outlineLevel="0" collapsed="false">
      <c r="B7" s="3" t="s">
        <v>103</v>
      </c>
      <c r="C7" s="3" t="s">
        <v>42</v>
      </c>
      <c r="D7" s="3" t="s">
        <v>43</v>
      </c>
    </row>
    <row r="8" customFormat="false" ht="13.8" hidden="false" customHeight="false" outlineLevel="0" collapsed="false">
      <c r="B8" s="3" t="s">
        <v>106</v>
      </c>
      <c r="C8" s="3" t="s">
        <v>55</v>
      </c>
      <c r="D8" s="3" t="s">
        <v>56</v>
      </c>
    </row>
    <row r="9" customFormat="false" ht="13.8" hidden="false" customHeight="false" outlineLevel="0" collapsed="false">
      <c r="B9" s="3" t="s">
        <v>109</v>
      </c>
      <c r="C9" s="3" t="s">
        <v>64</v>
      </c>
      <c r="D9" s="3" t="s">
        <v>43</v>
      </c>
    </row>
    <row r="10" customFormat="false" ht="13.8" hidden="false" customHeight="false" outlineLevel="0" collapsed="false">
      <c r="B10" s="3" t="s">
        <v>112</v>
      </c>
      <c r="C10" s="3" t="s">
        <v>67</v>
      </c>
      <c r="D10" s="3" t="s">
        <v>68</v>
      </c>
    </row>
  </sheetData>
  <mergeCells count="1">
    <mergeCell ref="B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36" activeCellId="0" sqref="F36"/>
    </sheetView>
  </sheetViews>
  <sheetFormatPr defaultColWidth="9.14453125" defaultRowHeight="13.8" zeroHeight="false" outlineLevelRow="0" outlineLevelCol="0"/>
  <cols>
    <col collapsed="false" customWidth="true" hidden="false" outlineLevel="0" max="2" min="2" style="0" width="15.62"/>
    <col collapsed="false" customWidth="true" hidden="false" outlineLevel="0" max="3" min="3" style="0" width="21.51"/>
    <col collapsed="false" customWidth="true" hidden="false" outlineLevel="0" max="5" min="5" style="0" width="14.03"/>
    <col collapsed="false" customWidth="true" hidden="false" outlineLevel="0" max="7" min="7" style="0" width="9.87"/>
    <col collapsed="false" customWidth="true" hidden="false" outlineLevel="0" max="8" min="8" style="0" width="21.02"/>
    <col collapsed="false" customWidth="true" hidden="false" outlineLevel="0" max="9" min="9" style="0" width="16.36"/>
  </cols>
  <sheetData>
    <row r="1" customFormat="false" ht="12.8" hidden="false" customHeight="false" outlineLevel="0" collapsed="false"/>
    <row r="2" customFormat="false" ht="13.8" hidden="false" customHeight="false" outlineLevel="0" collapsed="false">
      <c r="B2" s="1" t="s">
        <v>72</v>
      </c>
      <c r="C2" s="1"/>
      <c r="D2" s="1"/>
      <c r="E2" s="1"/>
      <c r="G2" s="1" t="s">
        <v>71</v>
      </c>
      <c r="H2" s="1"/>
      <c r="I2" s="1"/>
    </row>
    <row r="3" customFormat="false" ht="13.8" hidden="false" customHeight="false" outlineLevel="0" collapsed="false">
      <c r="B3" s="1" t="s">
        <v>82</v>
      </c>
      <c r="C3" s="1" t="s">
        <v>83</v>
      </c>
      <c r="D3" s="1" t="s">
        <v>84</v>
      </c>
      <c r="E3" s="1" t="s">
        <v>85</v>
      </c>
      <c r="G3" s="1" t="s">
        <v>79</v>
      </c>
      <c r="H3" s="1" t="s">
        <v>80</v>
      </c>
      <c r="I3" s="1" t="s">
        <v>81</v>
      </c>
    </row>
    <row r="4" customFormat="false" ht="13.8" hidden="false" customHeight="false" outlineLevel="0" collapsed="false">
      <c r="B4" s="2" t="s">
        <v>94</v>
      </c>
      <c r="C4" s="3" t="s">
        <v>15</v>
      </c>
      <c r="D4" s="3" t="s">
        <v>16</v>
      </c>
      <c r="E4" s="4" t="s">
        <v>14</v>
      </c>
      <c r="G4" s="2" t="s">
        <v>93</v>
      </c>
      <c r="H4" s="3" t="s">
        <v>13</v>
      </c>
      <c r="I4" s="3" t="s">
        <v>14</v>
      </c>
    </row>
    <row r="5" customFormat="false" ht="13.8" hidden="false" customHeight="false" outlineLevel="0" collapsed="false">
      <c r="B5" s="2" t="s">
        <v>98</v>
      </c>
      <c r="C5" s="3" t="s">
        <v>25</v>
      </c>
      <c r="D5" s="3" t="s">
        <v>26</v>
      </c>
      <c r="E5" s="4" t="s">
        <v>24</v>
      </c>
      <c r="G5" s="2" t="s">
        <v>97</v>
      </c>
      <c r="H5" s="3" t="s">
        <v>23</v>
      </c>
      <c r="I5" s="3" t="s">
        <v>24</v>
      </c>
    </row>
    <row r="6" customFormat="false" ht="13.8" hidden="false" customHeight="false" outlineLevel="0" collapsed="false">
      <c r="B6" s="2" t="s">
        <v>101</v>
      </c>
      <c r="C6" s="3" t="s">
        <v>34</v>
      </c>
      <c r="D6" s="3" t="s">
        <v>35</v>
      </c>
      <c r="E6" s="4" t="s">
        <v>33</v>
      </c>
      <c r="G6" s="3" t="s">
        <v>100</v>
      </c>
      <c r="H6" s="3" t="s">
        <v>32</v>
      </c>
      <c r="I6" s="3" t="s">
        <v>33</v>
      </c>
    </row>
    <row r="7" customFormat="false" ht="13.8" hidden="false" customHeight="false" outlineLevel="0" collapsed="false">
      <c r="B7" s="3" t="s">
        <v>104</v>
      </c>
      <c r="C7" s="3" t="s">
        <v>44</v>
      </c>
      <c r="D7" s="3" t="s">
        <v>45</v>
      </c>
      <c r="E7" s="4" t="s">
        <v>43</v>
      </c>
      <c r="G7" s="3" t="s">
        <v>103</v>
      </c>
      <c r="H7" s="3" t="s">
        <v>42</v>
      </c>
      <c r="I7" s="3" t="s">
        <v>43</v>
      </c>
    </row>
    <row r="8" customFormat="false" ht="13.8" hidden="false" customHeight="false" outlineLevel="0" collapsed="false">
      <c r="B8" s="3" t="s">
        <v>107</v>
      </c>
      <c r="C8" s="3" t="s">
        <v>15</v>
      </c>
      <c r="D8" s="3" t="s">
        <v>16</v>
      </c>
      <c r="E8" s="4" t="s">
        <v>14</v>
      </c>
      <c r="G8" s="3" t="s">
        <v>106</v>
      </c>
      <c r="H8" s="3" t="s">
        <v>55</v>
      </c>
      <c r="I8" s="3" t="s">
        <v>56</v>
      </c>
    </row>
    <row r="9" customFormat="false" ht="13.8" hidden="false" customHeight="false" outlineLevel="0" collapsed="false">
      <c r="B9" s="3" t="s">
        <v>110</v>
      </c>
      <c r="C9" s="3" t="s">
        <v>25</v>
      </c>
      <c r="D9" s="3" t="s">
        <v>26</v>
      </c>
      <c r="E9" s="4" t="s">
        <v>24</v>
      </c>
      <c r="G9" s="3" t="s">
        <v>109</v>
      </c>
      <c r="H9" s="3" t="s">
        <v>64</v>
      </c>
      <c r="I9" s="3" t="s">
        <v>43</v>
      </c>
    </row>
    <row r="10" customFormat="false" ht="13.8" hidden="false" customHeight="false" outlineLevel="0" collapsed="false">
      <c r="B10" s="3" t="s">
        <v>113</v>
      </c>
      <c r="C10" s="3" t="s">
        <v>57</v>
      </c>
      <c r="D10" s="3" t="s">
        <v>58</v>
      </c>
      <c r="E10" s="4" t="s">
        <v>56</v>
      </c>
      <c r="G10" s="3" t="s">
        <v>112</v>
      </c>
      <c r="H10" s="3" t="s">
        <v>67</v>
      </c>
      <c r="I10" s="3" t="s">
        <v>68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B2:E2"/>
    <mergeCell ref="G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H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3" activeCellId="0" sqref="C33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10.6"/>
    <col collapsed="false" customWidth="true" hidden="false" outlineLevel="0" max="3" min="3" style="0" width="18.57"/>
    <col collapsed="false" customWidth="true" hidden="false" outlineLevel="0" max="4" min="4" style="0" width="12.2"/>
    <col collapsed="false" customWidth="true" hidden="false" outlineLevel="0" max="5" min="5" style="0" width="14.4"/>
    <col collapsed="false" customWidth="true" hidden="false" outlineLevel="0" max="6" min="6" style="0" width="13.17"/>
    <col collapsed="false" customWidth="true" hidden="false" outlineLevel="0" max="7" min="7" style="0" width="15.01"/>
    <col collapsed="false" customWidth="true" hidden="false" outlineLevel="0" max="8" min="8" style="0" width="15.26"/>
  </cols>
  <sheetData>
    <row r="2" customFormat="false" ht="13.8" hidden="false" customHeight="false" outlineLevel="0" collapsed="false">
      <c r="B2" s="1" t="s">
        <v>73</v>
      </c>
      <c r="C2" s="1"/>
      <c r="D2" s="1"/>
      <c r="E2" s="1"/>
      <c r="F2" s="1"/>
      <c r="G2" s="1"/>
      <c r="H2" s="1"/>
    </row>
    <row r="3" customFormat="false" ht="13.8" hidden="false" customHeight="false" outlineLevel="0" collapsed="false"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91</v>
      </c>
      <c r="H3" s="1" t="s">
        <v>92</v>
      </c>
    </row>
    <row r="4" customFormat="false" ht="13.8" hidden="false" customHeight="false" outlineLevel="0" collapsed="false">
      <c r="B4" s="2" t="s">
        <v>95</v>
      </c>
      <c r="C4" s="3" t="s">
        <v>17</v>
      </c>
      <c r="D4" s="3" t="s">
        <v>18</v>
      </c>
      <c r="E4" s="3" t="n">
        <v>100</v>
      </c>
      <c r="F4" s="3" t="n">
        <v>32000</v>
      </c>
      <c r="G4" s="3" t="s">
        <v>19</v>
      </c>
      <c r="H4" s="3" t="s">
        <v>12</v>
      </c>
    </row>
    <row r="5" customFormat="false" ht="13.8" hidden="false" customHeight="false" outlineLevel="0" collapsed="false">
      <c r="B5" s="2" t="s">
        <v>96</v>
      </c>
      <c r="C5" s="3" t="s">
        <v>21</v>
      </c>
      <c r="D5" s="3" t="s">
        <v>18</v>
      </c>
      <c r="E5" s="3" t="n">
        <v>50</v>
      </c>
      <c r="F5" s="3" t="n">
        <v>28000</v>
      </c>
      <c r="G5" s="3" t="s">
        <v>19</v>
      </c>
      <c r="H5" s="3" t="s">
        <v>12</v>
      </c>
    </row>
    <row r="6" customFormat="false" ht="13.8" hidden="false" customHeight="false" outlineLevel="0" collapsed="false">
      <c r="B6" s="2" t="s">
        <v>99</v>
      </c>
      <c r="C6" s="3" t="s">
        <v>27</v>
      </c>
      <c r="D6" s="3" t="s">
        <v>28</v>
      </c>
      <c r="E6" s="3" t="n">
        <v>3</v>
      </c>
      <c r="F6" s="3" t="n">
        <v>450000</v>
      </c>
      <c r="G6" s="3" t="s">
        <v>29</v>
      </c>
      <c r="H6" s="3" t="s">
        <v>22</v>
      </c>
    </row>
    <row r="7" customFormat="false" ht="13.8" hidden="false" customHeight="false" outlineLevel="0" collapsed="false">
      <c r="B7" s="2" t="s">
        <v>102</v>
      </c>
      <c r="C7" s="3" t="s">
        <v>36</v>
      </c>
      <c r="D7" s="3" t="s">
        <v>37</v>
      </c>
      <c r="E7" s="3" t="n">
        <v>20</v>
      </c>
      <c r="F7" s="3" t="n">
        <v>95000</v>
      </c>
      <c r="G7" s="3" t="s">
        <v>38</v>
      </c>
      <c r="H7" s="3" t="s">
        <v>31</v>
      </c>
    </row>
    <row r="8" customFormat="false" ht="13.8" hidden="false" customHeight="false" outlineLevel="0" collapsed="false">
      <c r="B8" s="2" t="s">
        <v>105</v>
      </c>
      <c r="C8" s="3" t="s">
        <v>40</v>
      </c>
      <c r="D8" s="3" t="s">
        <v>37</v>
      </c>
      <c r="E8" s="3" t="n">
        <v>10</v>
      </c>
      <c r="F8" s="3" t="n">
        <v>18000</v>
      </c>
      <c r="G8" s="3" t="s">
        <v>38</v>
      </c>
      <c r="H8" s="3" t="s">
        <v>31</v>
      </c>
    </row>
    <row r="9" customFormat="false" ht="13.8" hidden="false" customHeight="false" outlineLevel="0" collapsed="false">
      <c r="B9" s="2" t="s">
        <v>108</v>
      </c>
      <c r="C9" s="3" t="s">
        <v>46</v>
      </c>
      <c r="D9" s="3" t="s">
        <v>28</v>
      </c>
      <c r="E9" s="3" t="n">
        <v>40</v>
      </c>
      <c r="F9" s="3" t="n">
        <v>12000</v>
      </c>
      <c r="G9" s="3" t="s">
        <v>47</v>
      </c>
      <c r="H9" s="3" t="s">
        <v>41</v>
      </c>
    </row>
    <row r="10" customFormat="false" ht="13.8" hidden="false" customHeight="false" outlineLevel="0" collapsed="false">
      <c r="B10" s="2" t="s">
        <v>111</v>
      </c>
      <c r="C10" s="3" t="s">
        <v>17</v>
      </c>
      <c r="D10" s="3" t="s">
        <v>18</v>
      </c>
      <c r="E10" s="3" t="n">
        <v>120</v>
      </c>
      <c r="F10" s="3" t="n">
        <v>32000</v>
      </c>
      <c r="G10" s="3" t="s">
        <v>19</v>
      </c>
      <c r="H10" s="3" t="s">
        <v>49</v>
      </c>
    </row>
    <row r="11" customFormat="false" ht="13.8" hidden="false" customHeight="false" outlineLevel="0" collapsed="false">
      <c r="B11" s="3" t="s">
        <v>114</v>
      </c>
      <c r="C11" s="3" t="s">
        <v>52</v>
      </c>
      <c r="D11" s="3" t="s">
        <v>28</v>
      </c>
      <c r="E11" s="3" t="n">
        <v>25</v>
      </c>
      <c r="F11" s="3" t="n">
        <v>15000</v>
      </c>
      <c r="G11" s="3" t="s">
        <v>29</v>
      </c>
      <c r="H11" s="3" t="s">
        <v>51</v>
      </c>
    </row>
    <row r="12" customFormat="false" ht="13.8" hidden="false" customHeight="false" outlineLevel="0" collapsed="false">
      <c r="B12" s="3" t="s">
        <v>115</v>
      </c>
      <c r="C12" s="3" t="s">
        <v>59</v>
      </c>
      <c r="D12" s="3" t="s">
        <v>60</v>
      </c>
      <c r="E12" s="3" t="n">
        <v>60</v>
      </c>
      <c r="F12" s="3" t="n">
        <v>25000</v>
      </c>
      <c r="G12" s="3" t="s">
        <v>38</v>
      </c>
      <c r="H12" s="3" t="s">
        <v>54</v>
      </c>
    </row>
    <row r="13" customFormat="false" ht="13.8" hidden="false" customHeight="false" outlineLevel="0" collapsed="false">
      <c r="B13" s="3" t="s">
        <v>116</v>
      </c>
      <c r="C13" s="3" t="s">
        <v>62</v>
      </c>
      <c r="D13" s="3" t="s">
        <v>60</v>
      </c>
      <c r="E13" s="3" t="n">
        <v>80</v>
      </c>
      <c r="F13" s="3" t="n">
        <v>27000</v>
      </c>
      <c r="G13" s="3" t="s">
        <v>38</v>
      </c>
      <c r="H13" s="3" t="s">
        <v>54</v>
      </c>
    </row>
    <row r="14" customFormat="false" ht="13.8" hidden="false" customHeight="false" outlineLevel="0" collapsed="false">
      <c r="B14" s="3" t="s">
        <v>117</v>
      </c>
      <c r="C14" s="3" t="s">
        <v>36</v>
      </c>
      <c r="D14" s="3" t="s">
        <v>37</v>
      </c>
      <c r="E14" s="3" t="n">
        <v>15</v>
      </c>
      <c r="F14" s="3" t="n">
        <v>95000</v>
      </c>
      <c r="G14" s="3" t="s">
        <v>19</v>
      </c>
      <c r="H14" s="3" t="s">
        <v>63</v>
      </c>
    </row>
    <row r="15" customFormat="false" ht="13.8" hidden="false" customHeight="false" outlineLevel="0" collapsed="false">
      <c r="B15" s="3" t="s">
        <v>118</v>
      </c>
      <c r="C15" s="3" t="s">
        <v>27</v>
      </c>
      <c r="D15" s="3" t="s">
        <v>28</v>
      </c>
      <c r="E15" s="3" t="n">
        <v>2</v>
      </c>
      <c r="F15" s="3" t="n">
        <v>450000</v>
      </c>
      <c r="G15" s="3" t="s">
        <v>29</v>
      </c>
      <c r="H15" s="3" t="s">
        <v>66</v>
      </c>
    </row>
  </sheetData>
  <mergeCells count="1">
    <mergeCell ref="B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2026-06-16T11:31:10Z</dcterms:created>
  <dc:creator>openpyxl</dc:creator>
  <dc:description/>
  <dc:language>es-CO</dc:language>
  <cp:lastModifiedBy/>
  <dcterms:modified xsi:type="dcterms:W3CDTF">2026-06-17T15:24:40Z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